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4.xml" ContentType="application/vnd.openxmlformats-officedocument.spreadsheetml.pivotTab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hidePivotFieldList="1" defaultThemeVersion="164011"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bookViews>
    <workbookView xWindow="0" yWindow="0" windowWidth="23040" windowHeight="9192" tabRatio="941" activeTab="3"/>
  </bookViews>
  <sheets>
    <sheet name="Sales by Color" sheetId="3" r:id="rId1"/>
    <sheet name="Methods of Payment" sheetId="4" r:id="rId2"/>
    <sheet name="Orders Per Month" sheetId="6" r:id="rId3"/>
    <sheet name="Sales by Country" sheetId="7" r:id="rId4"/>
    <sheet name="Insights" sheetId="10" r:id="rId5"/>
    <sheet name="iphone_sales_dataset" sheetId="1" r:id="rId6"/>
  </sheets>
  <definedNames>
    <definedName name="الرئيسي">iphone_sales_dataset!$A$2:$K$101</definedName>
  </definedNames>
  <calcPr calcId="162913"/>
  <pivotCaches>
    <pivotCache cacheId="27" r:id="rId7"/>
  </pivotCaches>
</workbook>
</file>

<file path=xl/calcChain.xml><?xml version="1.0" encoding="utf-8"?>
<calcChain xmlns="http://schemas.openxmlformats.org/spreadsheetml/2006/main">
  <c r="K3" i="1" l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K52" i="1"/>
  <c r="K53" i="1"/>
  <c r="K54" i="1"/>
  <c r="K55" i="1"/>
  <c r="K56" i="1"/>
  <c r="K57" i="1"/>
  <c r="K58" i="1"/>
  <c r="K59" i="1"/>
  <c r="K60" i="1"/>
  <c r="K61" i="1"/>
  <c r="K62" i="1"/>
  <c r="K63" i="1"/>
  <c r="K64" i="1"/>
  <c r="K65" i="1"/>
  <c r="K66" i="1"/>
  <c r="K67" i="1"/>
  <c r="K68" i="1"/>
  <c r="K69" i="1"/>
  <c r="K70" i="1"/>
  <c r="K71" i="1"/>
  <c r="K72" i="1"/>
  <c r="K73" i="1"/>
  <c r="K74" i="1"/>
  <c r="K75" i="1"/>
  <c r="K76" i="1"/>
  <c r="K77" i="1"/>
  <c r="K78" i="1"/>
  <c r="K79" i="1"/>
  <c r="K80" i="1"/>
  <c r="K81" i="1"/>
  <c r="K82" i="1"/>
  <c r="K83" i="1"/>
  <c r="K84" i="1"/>
  <c r="K85" i="1"/>
  <c r="K86" i="1"/>
  <c r="K87" i="1"/>
  <c r="K88" i="1"/>
  <c r="K89" i="1"/>
  <c r="K90" i="1"/>
  <c r="K91" i="1"/>
  <c r="K92" i="1"/>
  <c r="K93" i="1"/>
  <c r="K94" i="1"/>
  <c r="K95" i="1"/>
  <c r="K96" i="1"/>
  <c r="K97" i="1"/>
  <c r="K98" i="1"/>
  <c r="K99" i="1"/>
  <c r="K100" i="1"/>
  <c r="K101" i="1"/>
  <c r="K2" i="1"/>
</calcChain>
</file>

<file path=xl/sharedStrings.xml><?xml version="1.0" encoding="utf-8"?>
<sst xmlns="http://schemas.openxmlformats.org/spreadsheetml/2006/main" count="654" uniqueCount="157">
  <si>
    <t>Order_ID</t>
  </si>
  <si>
    <t>Customer_Name</t>
  </si>
  <si>
    <t>Country</t>
  </si>
  <si>
    <t>iPhone_Model</t>
  </si>
  <si>
    <t>Storage</t>
  </si>
  <si>
    <t>Color</t>
  </si>
  <si>
    <t>Quantity</t>
  </si>
  <si>
    <t>Price</t>
  </si>
  <si>
    <t>Sale_Date</t>
  </si>
  <si>
    <t>Payment_Method</t>
  </si>
  <si>
    <t>Customer_1</t>
  </si>
  <si>
    <t>USA</t>
  </si>
  <si>
    <t>iPhone 13</t>
  </si>
  <si>
    <t>256GB</t>
  </si>
  <si>
    <t>Purple</t>
  </si>
  <si>
    <t>Debit Card</t>
  </si>
  <si>
    <t>Customer_2</t>
  </si>
  <si>
    <t>Canada</t>
  </si>
  <si>
    <t>iPhone 12</t>
  </si>
  <si>
    <t>Blue</t>
  </si>
  <si>
    <t>PayPal</t>
  </si>
  <si>
    <t>Customer_3</t>
  </si>
  <si>
    <t>iPhone 15 Pro Max</t>
  </si>
  <si>
    <t>512GB</t>
  </si>
  <si>
    <t>Black</t>
  </si>
  <si>
    <t>Credit Card</t>
  </si>
  <si>
    <t>Customer_4</t>
  </si>
  <si>
    <t>Customer_5</t>
  </si>
  <si>
    <t>iPhone 15</t>
  </si>
  <si>
    <t>128GB</t>
  </si>
  <si>
    <t>Customer_6</t>
  </si>
  <si>
    <t>UAE</t>
  </si>
  <si>
    <t>iPhone 14 Pro</t>
  </si>
  <si>
    <t>Red</t>
  </si>
  <si>
    <t>Customer_7</t>
  </si>
  <si>
    <t>Germany</t>
  </si>
  <si>
    <t>Customer_8</t>
  </si>
  <si>
    <t>UK</t>
  </si>
  <si>
    <t>Customer_9</t>
  </si>
  <si>
    <t>Customer_10</t>
  </si>
  <si>
    <t>Pakistan</t>
  </si>
  <si>
    <t>Customer_11</t>
  </si>
  <si>
    <t>White</t>
  </si>
  <si>
    <t>Customer_12</t>
  </si>
  <si>
    <t>iPhone 14</t>
  </si>
  <si>
    <t>Cash</t>
  </si>
  <si>
    <t>Customer_13</t>
  </si>
  <si>
    <t>Customer_14</t>
  </si>
  <si>
    <t>Customer_15</t>
  </si>
  <si>
    <t>Customer_16</t>
  </si>
  <si>
    <t>Customer_17</t>
  </si>
  <si>
    <t>Customer_18</t>
  </si>
  <si>
    <t>Customer_19</t>
  </si>
  <si>
    <t>Customer_20</t>
  </si>
  <si>
    <t>Customer_21</t>
  </si>
  <si>
    <t>Customer_22</t>
  </si>
  <si>
    <t>Customer_23</t>
  </si>
  <si>
    <t>Customer_24</t>
  </si>
  <si>
    <t>Customer_25</t>
  </si>
  <si>
    <t>Customer_26</t>
  </si>
  <si>
    <t>Customer_27</t>
  </si>
  <si>
    <t>Customer_28</t>
  </si>
  <si>
    <t>Customer_29</t>
  </si>
  <si>
    <t>Customer_30</t>
  </si>
  <si>
    <t>Customer_31</t>
  </si>
  <si>
    <t>Customer_32</t>
  </si>
  <si>
    <t>Customer_33</t>
  </si>
  <si>
    <t>Customer_34</t>
  </si>
  <si>
    <t>Customer_35</t>
  </si>
  <si>
    <t>Customer_36</t>
  </si>
  <si>
    <t>Customer_37</t>
  </si>
  <si>
    <t>Customer_38</t>
  </si>
  <si>
    <t>Customer_39</t>
  </si>
  <si>
    <t>Customer_40</t>
  </si>
  <si>
    <t>Customer_41</t>
  </si>
  <si>
    <t>Customer_42</t>
  </si>
  <si>
    <t>Customer_43</t>
  </si>
  <si>
    <t>Customer_44</t>
  </si>
  <si>
    <t>Customer_45</t>
  </si>
  <si>
    <t>Customer_46</t>
  </si>
  <si>
    <t>Customer_47</t>
  </si>
  <si>
    <t>Customer_48</t>
  </si>
  <si>
    <t>Customer_49</t>
  </si>
  <si>
    <t>Customer_50</t>
  </si>
  <si>
    <t>Customer_51</t>
  </si>
  <si>
    <t>Customer_52</t>
  </si>
  <si>
    <t>Customer_53</t>
  </si>
  <si>
    <t>Customer_54</t>
  </si>
  <si>
    <t>Customer_55</t>
  </si>
  <si>
    <t>Customer_56</t>
  </si>
  <si>
    <t>Customer_57</t>
  </si>
  <si>
    <t>Customer_58</t>
  </si>
  <si>
    <t>Customer_59</t>
  </si>
  <si>
    <t>Customer_60</t>
  </si>
  <si>
    <t>Customer_61</t>
  </si>
  <si>
    <t>Customer_62</t>
  </si>
  <si>
    <t>Customer_63</t>
  </si>
  <si>
    <t>Customer_64</t>
  </si>
  <si>
    <t>Customer_65</t>
  </si>
  <si>
    <t>Customer_66</t>
  </si>
  <si>
    <t>Customer_67</t>
  </si>
  <si>
    <t>Customer_68</t>
  </si>
  <si>
    <t>Customer_69</t>
  </si>
  <si>
    <t>Customer_70</t>
  </si>
  <si>
    <t>Customer_71</t>
  </si>
  <si>
    <t>Customer_72</t>
  </si>
  <si>
    <t>Customer_73</t>
  </si>
  <si>
    <t>Customer_74</t>
  </si>
  <si>
    <t>Customer_75</t>
  </si>
  <si>
    <t>Customer_76</t>
  </si>
  <si>
    <t>Customer_77</t>
  </si>
  <si>
    <t>Customer_78</t>
  </si>
  <si>
    <t>Customer_79</t>
  </si>
  <si>
    <t>Customer_80</t>
  </si>
  <si>
    <t>Customer_81</t>
  </si>
  <si>
    <t>Customer_82</t>
  </si>
  <si>
    <t>Customer_83</t>
  </si>
  <si>
    <t>Customer_84</t>
  </si>
  <si>
    <t>Customer_85</t>
  </si>
  <si>
    <t>Customer_86</t>
  </si>
  <si>
    <t>Customer_87</t>
  </si>
  <si>
    <t>Customer_88</t>
  </si>
  <si>
    <t>Customer_89</t>
  </si>
  <si>
    <t>Customer_90</t>
  </si>
  <si>
    <t>Customer_91</t>
  </si>
  <si>
    <t>Customer_92</t>
  </si>
  <si>
    <t>Customer_93</t>
  </si>
  <si>
    <t>Customer_94</t>
  </si>
  <si>
    <t>Customer_95</t>
  </si>
  <si>
    <t>Customer_96</t>
  </si>
  <si>
    <t>Customer_97</t>
  </si>
  <si>
    <t>Customer_98</t>
  </si>
  <si>
    <t>Customer_99</t>
  </si>
  <si>
    <t>Customer_100</t>
  </si>
  <si>
    <t>Grand Total</t>
  </si>
  <si>
    <t>Row Labels</t>
  </si>
  <si>
    <t>Jan</t>
  </si>
  <si>
    <t>Feb</t>
  </si>
  <si>
    <t>Mar</t>
  </si>
  <si>
    <t>Apr</t>
  </si>
  <si>
    <t>May</t>
  </si>
  <si>
    <t>Total Sales</t>
  </si>
  <si>
    <t>Total Methods</t>
  </si>
  <si>
    <t>Total_Sales</t>
  </si>
  <si>
    <t>The highest sales of country</t>
  </si>
  <si>
    <t>The highest color sold</t>
  </si>
  <si>
    <t>The highest method of payment</t>
  </si>
  <si>
    <t>UK-22%</t>
  </si>
  <si>
    <t>January-32%</t>
  </si>
  <si>
    <t>Debit Card-38%</t>
  </si>
  <si>
    <t>Blue-25%</t>
  </si>
  <si>
    <t>The highest sales of country2</t>
  </si>
  <si>
    <t>Sales By Color</t>
  </si>
  <si>
    <t>Methodes Of Payment</t>
  </si>
  <si>
    <t>Sales Per Month</t>
  </si>
  <si>
    <t>Sales By country</t>
  </si>
  <si>
    <t>Percentage of Sales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</si>
</sst>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8" formatCode="&quot;$&quot;#,##0.00_);[Red]\(&quot;$&quot;#,##0.00\)"/>
    <numFmt numFmtId="164" formatCode="&quot;$&quot;#,##0"/>
  </numFmts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20"/>
      <color theme="1"/>
      <name val="Bahnschrift SemiBold SemiConden"/>
      <family val="2"/>
    </font>
    <font>
      <b/>
      <sz val="18"/>
      <color theme="1"/>
      <name val="Arial"/>
      <family val="2"/>
    </font>
    <font>
      <b/>
      <sz val="16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7" fillId="12" borderId="0" applyNumberFormat="0" applyBorder="0" applyAlignment="0" applyProtection="0"/>
    <xf numFmtId="0" fontId="17" fillId="16" borderId="0" applyNumberFormat="0" applyBorder="0" applyAlignment="0" applyProtection="0"/>
    <xf numFmtId="0" fontId="17" fillId="20" borderId="0" applyNumberFormat="0" applyBorder="0" applyAlignment="0" applyProtection="0"/>
    <xf numFmtId="0" fontId="17" fillId="24" borderId="0" applyNumberFormat="0" applyBorder="0" applyAlignment="0" applyProtection="0"/>
    <xf numFmtId="0" fontId="17" fillId="28" borderId="0" applyNumberFormat="0" applyBorder="0" applyAlignment="0" applyProtection="0"/>
    <xf numFmtId="0" fontId="17" fillId="32" borderId="0" applyNumberFormat="0" applyBorder="0" applyAlignment="0" applyProtection="0"/>
    <xf numFmtId="0" fontId="17" fillId="9" borderId="0" applyNumberFormat="0" applyBorder="0" applyAlignment="0" applyProtection="0"/>
    <xf numFmtId="0" fontId="17" fillId="13" borderId="0" applyNumberFormat="0" applyBorder="0" applyAlignment="0" applyProtection="0"/>
    <xf numFmtId="0" fontId="17" fillId="17" borderId="0" applyNumberFormat="0" applyBorder="0" applyAlignment="0" applyProtection="0"/>
    <xf numFmtId="0" fontId="17" fillId="21" borderId="0" applyNumberFormat="0" applyBorder="0" applyAlignment="0" applyProtection="0"/>
    <xf numFmtId="0" fontId="17" fillId="25" borderId="0" applyNumberFormat="0" applyBorder="0" applyAlignment="0" applyProtection="0"/>
    <xf numFmtId="0" fontId="17" fillId="29" borderId="0" applyNumberFormat="0" applyBorder="0" applyAlignment="0" applyProtection="0"/>
    <xf numFmtId="0" fontId="7" fillId="3" borderId="0" applyNumberFormat="0" applyBorder="0" applyAlignment="0" applyProtection="0"/>
    <xf numFmtId="0" fontId="11" fillId="6" borderId="4" applyNumberFormat="0" applyAlignment="0" applyProtection="0"/>
    <xf numFmtId="0" fontId="13" fillId="7" borderId="7" applyNumberFormat="0" applyAlignment="0" applyProtection="0"/>
    <xf numFmtId="0" fontId="1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9" fillId="5" borderId="4" applyNumberFormat="0" applyAlignment="0" applyProtection="0"/>
    <xf numFmtId="0" fontId="12" fillId="0" borderId="6" applyNumberFormat="0" applyFill="0" applyAlignment="0" applyProtection="0"/>
    <xf numFmtId="0" fontId="8" fillId="4" borderId="0" applyNumberFormat="0" applyBorder="0" applyAlignment="0" applyProtection="0"/>
    <xf numFmtId="0" fontId="1" fillId="8" borderId="8" applyNumberFormat="0" applyFont="0" applyAlignment="0" applyProtection="0"/>
    <xf numFmtId="0" fontId="10" fillId="6" borderId="5" applyNumberFormat="0" applyAlignment="0" applyProtection="0"/>
    <xf numFmtId="0" fontId="2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4" fillId="0" borderId="0" applyNumberFormat="0" applyFill="0" applyBorder="0" applyAlignment="0" applyProtection="0"/>
  </cellStyleXfs>
  <cellXfs count="18">
    <xf numFmtId="0" fontId="0" fillId="0" borderId="0" xfId="0"/>
    <xf numFmtId="14" fontId="0" fillId="0" borderId="0" xfId="0" applyNumberFormat="1"/>
    <xf numFmtId="8" fontId="0" fillId="0" borderId="0" xfId="0" applyNumberFormat="1"/>
    <xf numFmtId="0" fontId="19" fillId="0" borderId="0" xfId="0" applyFont="1"/>
    <xf numFmtId="0" fontId="19" fillId="0" borderId="0" xfId="0" applyFont="1" applyAlignment="1">
      <alignment horizontal="center"/>
    </xf>
    <xf numFmtId="0" fontId="19" fillId="0" borderId="0" xfId="0" applyFont="1" applyFill="1" applyBorder="1" applyAlignment="1">
      <alignment horizontal="center"/>
    </xf>
    <xf numFmtId="0" fontId="20" fillId="0" borderId="0" xfId="0" applyFont="1" applyAlignment="1">
      <alignment horizontal="center"/>
    </xf>
    <xf numFmtId="0" fontId="18" fillId="0" borderId="0" xfId="0" applyFont="1"/>
    <xf numFmtId="0" fontId="20" fillId="0" borderId="0" xfId="0" applyFont="1"/>
    <xf numFmtId="0" fontId="18" fillId="0" borderId="0" xfId="0" pivotButton="1" applyFont="1"/>
    <xf numFmtId="164" fontId="18" fillId="0" borderId="0" xfId="0" applyNumberFormat="1" applyFont="1"/>
    <xf numFmtId="0" fontId="18" fillId="0" borderId="0" xfId="0" applyFont="1" applyAlignment="1">
      <alignment horizontal="left"/>
    </xf>
    <xf numFmtId="0" fontId="21" fillId="0" borderId="0" xfId="0" applyFont="1"/>
    <xf numFmtId="0" fontId="21" fillId="0" borderId="0" xfId="0" pivotButton="1" applyFont="1"/>
    <xf numFmtId="164" fontId="21" fillId="0" borderId="0" xfId="0" applyNumberFormat="1" applyFont="1"/>
    <xf numFmtId="0" fontId="21" fillId="0" borderId="0" xfId="0" applyFont="1" applyAlignment="1">
      <alignment horizontal="left"/>
    </xf>
    <xf numFmtId="9" fontId="21" fillId="0" borderId="0" xfId="0" applyNumberFormat="1" applyFont="1"/>
    <xf numFmtId="10" fontId="18" fillId="0" borderId="0" xfId="0" applyNumberFormat="1" applyFont="1"/>
  </cellXfs>
  <cellStyles count="42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Calculation" xfId="26" builtinId="22" customBuiltin="1"/>
    <cellStyle name="Check Cell" xfId="27" builtinId="23" customBuiltin="1"/>
    <cellStyle name="Explanatory Text" xfId="28" builtinId="53" customBuiltin="1"/>
    <cellStyle name="Good" xfId="29" builtinId="26" customBuiltin="1"/>
    <cellStyle name="Heading 1" xfId="30" builtinId="16" customBuiltin="1"/>
    <cellStyle name="Heading 2" xfId="31" builtinId="17" customBuiltin="1"/>
    <cellStyle name="Heading 3" xfId="32" builtinId="18" customBuiltin="1"/>
    <cellStyle name="Heading 4" xfId="33" builtinId="19" customBuiltin="1"/>
    <cellStyle name="Input" xfId="34" builtinId="20" customBuiltin="1"/>
    <cellStyle name="Linked Cell" xfId="35" builtinId="24" customBuiltin="1"/>
    <cellStyle name="Neutral" xfId="36" builtinId="28" customBuiltin="1"/>
    <cellStyle name="Normal" xfId="0" builtinId="0"/>
    <cellStyle name="Note" xfId="37" builtinId="10" customBuiltin="1"/>
    <cellStyle name="Output" xfId="38" builtinId="21" customBuiltin="1"/>
    <cellStyle name="Title" xfId="39" builtinId="15" customBuiltin="1"/>
    <cellStyle name="Total" xfId="40" builtinId="25" customBuiltin="1"/>
    <cellStyle name="Warning Text" xfId="41" builtinId="11" customBuiltin="1"/>
  </cellStyles>
  <dxfs count="69">
    <dxf>
      <numFmt numFmtId="164" formatCode="&quot;$&quot;#,##0"/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numFmt numFmtId="0" formatCode="General"/>
    </dxf>
    <dxf>
      <numFmt numFmtId="19" formatCode="m/d/yyyy"/>
    </dxf>
    <dxf>
      <font>
        <b/>
        <i val="0"/>
        <strike val="0"/>
        <outline val="0"/>
        <shadow val="0"/>
        <u val="none"/>
        <vertAlign val="baseline"/>
        <sz val="20"/>
        <color theme="1"/>
        <name val="Bahnschrift SemiBold SemiConden"/>
        <scheme val="none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20"/>
        <color theme="1"/>
        <name val="Bahnschrift SemiBold SemiConden"/>
        <scheme val="none"/>
      </font>
      <alignment horizontal="center" vertical="bottom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20"/>
        <color theme="1"/>
        <name val="Bahnschrift SemiBold SemiConden"/>
        <scheme val="none"/>
      </font>
      <alignment horizontal="center" vertical="bottom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20"/>
        <color theme="1"/>
        <name val="Bahnschrift SemiBold SemiConden"/>
        <scheme val="none"/>
      </font>
      <alignment horizontal="center" vertical="bottom" textRotation="0" wrapText="0" indent="0" justifyLastLine="0" shrinkToFit="0" readingOrder="0"/>
    </dxf>
    <dxf>
      <border outline="0">
        <left style="thin">
          <color rgb="FF999999"/>
        </left>
      </border>
    </dxf>
    <dxf>
      <font>
        <b/>
        <i val="0"/>
        <strike val="0"/>
        <outline val="0"/>
        <shadow val="0"/>
        <u val="none"/>
        <vertAlign val="baseline"/>
        <sz val="20"/>
        <color theme="1"/>
        <name val="Bahnschrift SemiBold SemiConden"/>
        <scheme val="none"/>
      </font>
      <alignment horizontal="center" vertical="bottom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20"/>
        <color theme="1"/>
        <name val="Bahnschrift SemiBold SemiConden"/>
        <scheme val="none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numFmt numFmtId="13" formatCode="0%"/>
    </dxf>
    <dxf>
      <numFmt numFmtId="13" formatCode="0%"/>
    </dxf>
    <dxf>
      <numFmt numFmtId="13" formatCode="0%"/>
    </dxf>
    <dxf>
      <numFmt numFmtId="165" formatCode="0.0%"/>
    </dxf>
    <dxf>
      <numFmt numFmtId="165" formatCode="0.0%"/>
    </dxf>
    <dxf>
      <numFmt numFmtId="14" formatCode="0.00%"/>
    </dxf>
    <dxf>
      <numFmt numFmtId="14" formatCode="0.00%"/>
    </dxf>
    <dxf>
      <numFmt numFmtId="165" formatCode="0.0%"/>
    </dxf>
    <dxf>
      <numFmt numFmtId="165" formatCode="0.0%"/>
    </dxf>
    <dxf>
      <numFmt numFmtId="14" formatCode="0.00%"/>
    </dxf>
    <dxf>
      <numFmt numFmtId="13" formatCode="0%"/>
    </dxf>
    <dxf>
      <numFmt numFmtId="13" formatCode="0%"/>
    </dxf>
    <dxf>
      <numFmt numFmtId="165" formatCode="0.0%"/>
    </dxf>
    <dxf>
      <numFmt numFmtId="165" formatCode="0.0%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border diagonalDown="1">
        <left style="thick">
          <color auto="1"/>
        </left>
        <right style="thick">
          <color auto="1"/>
        </right>
        <top style="thick">
          <color auto="1"/>
        </top>
        <bottom style="thick">
          <color auto="1"/>
        </bottom>
        <diagonal style="thick">
          <color auto="1"/>
        </diagonal>
        <vertical style="thick">
          <color auto="1"/>
        </vertical>
        <horizontal style="thick">
          <color auto="1"/>
        </horizontal>
      </border>
    </dxf>
  </dxfs>
  <tableStyles count="1" defaultTableStyle="TableStyleMedium2" defaultPivotStyle="PivotStyleLight16">
    <tableStyle name="Table Style 1" pivot="0" count="1">
      <tableStyleElement type="headerRow" dxfId="68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[iphone_sales_report.xlsx]Sales by Color!Color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Sales by Color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layout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'Sales by Color'!$B$3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'Sales by Color'!$A$4:$A$8</c:f>
              <c:strCache>
                <c:ptCount val="5"/>
                <c:pt idx="0">
                  <c:v>Black</c:v>
                </c:pt>
                <c:pt idx="1">
                  <c:v>Blue</c:v>
                </c:pt>
                <c:pt idx="2">
                  <c:v>Purple</c:v>
                </c:pt>
                <c:pt idx="3">
                  <c:v>Red</c:v>
                </c:pt>
                <c:pt idx="4">
                  <c:v>White</c:v>
                </c:pt>
              </c:strCache>
            </c:strRef>
          </c:cat>
          <c:val>
            <c:numRef>
              <c:f>'Sales by Color'!$B$4:$B$8</c:f>
              <c:numCache>
                <c:formatCode>0%</c:formatCode>
                <c:ptCount val="5"/>
                <c:pt idx="0">
                  <c:v>0.15</c:v>
                </c:pt>
                <c:pt idx="1">
                  <c:v>0.25</c:v>
                </c:pt>
                <c:pt idx="2">
                  <c:v>0.19</c:v>
                </c:pt>
                <c:pt idx="3">
                  <c:v>0.19</c:v>
                </c:pt>
                <c:pt idx="4">
                  <c:v>0.22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C90-4D0A-983A-645335161C0A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734555167"/>
        <c:axId val="1"/>
      </c:barChart>
      <c:catAx>
        <c:axId val="73455516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"/>
        <c:crosses val="autoZero"/>
        <c:auto val="0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34555167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>
            <a:solidFill>
              <a:schemeClr val="lt1">
                <a:lumMod val="95000"/>
                <a:alpha val="54000"/>
              </a:schemeClr>
            </a:solidFill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[iphone_sales_report.xlsx]Methods of Payment!Payment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Methods of Payment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</c:pivotFmt>
      <c:pivotFmt>
        <c:idx val="2"/>
      </c:pivotFmt>
      <c:pivotFmt>
        <c:idx val="3"/>
      </c:pivotFmt>
      <c:pivotFmt>
        <c:idx val="4"/>
      </c:pivotFmt>
      <c:pivotFmt>
        <c:idx val="5"/>
      </c:pivotFmt>
      <c:pivotFmt>
        <c:idx val="6"/>
      </c:pivotFmt>
      <c:pivotFmt>
        <c:idx val="7"/>
      </c:pivotFmt>
      <c:pivotFmt>
        <c:idx val="8"/>
      </c:pivotFmt>
      <c:pivotFmt>
        <c:idx val="9"/>
      </c:pivotFmt>
      <c:pivotFmt>
        <c:idx val="1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</c:pivotFmt>
    </c:pivotFmts>
    <c:plotArea>
      <c:layout/>
      <c:pieChart>
        <c:varyColors val="1"/>
        <c:ser>
          <c:idx val="0"/>
          <c:order val="0"/>
          <c:tx>
            <c:strRef>
              <c:f>'Methods of Payment'!$B$3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550E-450F-958A-D2B56FB49FF5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550E-450F-958A-D2B56FB49FF5}"/>
              </c:ext>
            </c:extLst>
          </c:dPt>
          <c:dPt>
            <c:idx val="2"/>
            <c:bubble3D val="0"/>
            <c:spPr>
              <a:gradFill rotWithShape="1">
                <a:gsLst>
                  <a:gs pos="0">
                    <a:schemeClr val="accent3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550E-450F-958A-D2B56FB49FF5}"/>
              </c:ext>
            </c:extLst>
          </c:dPt>
          <c:dPt>
            <c:idx val="3"/>
            <c:bubble3D val="0"/>
            <c:spPr>
              <a:gradFill rotWithShape="1">
                <a:gsLst>
                  <a:gs pos="0">
                    <a:schemeClr val="accent4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550E-450F-958A-D2B56FB49FF5}"/>
              </c:ext>
            </c:extLst>
          </c:dPt>
          <c:dLbls>
            <c:delete val="1"/>
          </c:dLbls>
          <c:cat>
            <c:strRef>
              <c:f>'Methods of Payment'!$A$4:$A$8</c:f>
              <c:strCache>
                <c:ptCount val="4"/>
                <c:pt idx="0">
                  <c:v>Cash</c:v>
                </c:pt>
                <c:pt idx="1">
                  <c:v>Credit Card</c:v>
                </c:pt>
                <c:pt idx="2">
                  <c:v>Debit Card</c:v>
                </c:pt>
                <c:pt idx="3">
                  <c:v>PayPal</c:v>
                </c:pt>
              </c:strCache>
            </c:strRef>
          </c:cat>
          <c:val>
            <c:numRef>
              <c:f>'Methods of Payment'!$B$4:$B$8</c:f>
              <c:numCache>
                <c:formatCode>"$"#,##0</c:formatCode>
                <c:ptCount val="4"/>
                <c:pt idx="0">
                  <c:v>26716</c:v>
                </c:pt>
                <c:pt idx="1">
                  <c:v>37832</c:v>
                </c:pt>
                <c:pt idx="2">
                  <c:v>55425</c:v>
                </c:pt>
                <c:pt idx="3">
                  <c:v>26902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BFC-46DE-B1D9-43DC895B873C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[iphone_sales_report.xlsx]Orders Per Month!orders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Orders Per Month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</c:pivotFmt>
      <c:pivotFmt>
        <c:idx val="1"/>
      </c:pivotFmt>
      <c:pivotFmt>
        <c:idx val="2"/>
        <c:dLbl>
          <c:idx val="0"/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</c:pivotFmt>
    </c:pivotFmts>
    <c:plotArea>
      <c:layout>
        <c:manualLayout>
          <c:layoutTarget val="inner"/>
          <c:xMode val="edge"/>
          <c:yMode val="edge"/>
          <c:x val="0.24453929560174842"/>
          <c:y val="0.14979804739597424"/>
          <c:w val="0.52809886264216976"/>
          <c:h val="0.65853091280256637"/>
        </c:manualLayout>
      </c:layout>
      <c:lineChart>
        <c:grouping val="standard"/>
        <c:varyColors val="0"/>
        <c:ser>
          <c:idx val="0"/>
          <c:order val="0"/>
          <c:tx>
            <c:strRef>
              <c:f>'Orders Per Month'!$B$3</c:f>
              <c:strCache>
                <c:ptCount val="1"/>
                <c:pt idx="0">
                  <c:v>Total</c:v>
                </c:pt>
              </c:strCache>
            </c:strRef>
          </c:tx>
          <c:spPr>
            <a:ln w="34925" cap="rnd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>
                <a:solidFill>
                  <a:schemeClr val="accent1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dLbls>
            <c:delete val="1"/>
          </c:dLbls>
          <c:cat>
            <c:strRef>
              <c:f>'Orders Per Month'!$A$4:$A$9</c:f>
              <c:strCache>
                <c:ptCount val="5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</c:strCache>
            </c:strRef>
          </c:cat>
          <c:val>
            <c:numRef>
              <c:f>'Orders Per Month'!$B$4:$B$9</c:f>
              <c:numCache>
                <c:formatCode>"$"#,##0</c:formatCode>
                <c:ptCount val="5"/>
                <c:pt idx="0">
                  <c:v>33674</c:v>
                </c:pt>
                <c:pt idx="1">
                  <c:v>19025</c:v>
                </c:pt>
                <c:pt idx="2">
                  <c:v>29279</c:v>
                </c:pt>
                <c:pt idx="3">
                  <c:v>19974</c:v>
                </c:pt>
                <c:pt idx="4">
                  <c:v>3098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8D8-4022-B856-10D154945F8D}"/>
            </c:ext>
          </c:extLst>
        </c:ser>
        <c:dLbls>
          <c:dLblPos val="r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958828783"/>
        <c:axId val="958832527"/>
      </c:lineChart>
      <c:catAx>
        <c:axId val="958828783"/>
        <c:scaling>
          <c:orientation val="minMax"/>
        </c:scaling>
        <c:delete val="0"/>
        <c:axPos val="b"/>
        <c:title>
          <c:layout/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95000"/>
                <a:alpha val="1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58832527"/>
        <c:crosses val="autoZero"/>
        <c:auto val="1"/>
        <c:lblAlgn val="ctr"/>
        <c:lblOffset val="100"/>
        <c:noMultiLvlLbl val="0"/>
      </c:catAx>
      <c:valAx>
        <c:axId val="9588325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title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&quot;$&quot;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58828783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>
            <a:solidFill>
              <a:schemeClr val="lt1">
                <a:lumMod val="95000"/>
                <a:alpha val="54000"/>
              </a:schemeClr>
            </a:solidFill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[iphone_sales_report.xlsx]Sales by Country!PivotTable6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Sales By country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</c:pivotFmt>
      <c:pivotFmt>
        <c:idx val="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'Sales by Country'!$B$3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delete val="1"/>
          </c:dLbls>
          <c:cat>
            <c:strRef>
              <c:f>'Sales by Country'!$A$4:$A$10</c:f>
              <c:strCache>
                <c:ptCount val="6"/>
                <c:pt idx="0">
                  <c:v>Canada</c:v>
                </c:pt>
                <c:pt idx="1">
                  <c:v>Germany</c:v>
                </c:pt>
                <c:pt idx="2">
                  <c:v>Pakistan</c:v>
                </c:pt>
                <c:pt idx="3">
                  <c:v>UAE</c:v>
                </c:pt>
                <c:pt idx="4">
                  <c:v>UK</c:v>
                </c:pt>
                <c:pt idx="5">
                  <c:v>USA</c:v>
                </c:pt>
              </c:strCache>
            </c:strRef>
          </c:cat>
          <c:val>
            <c:numRef>
              <c:f>'Sales by Country'!$B$4:$B$10</c:f>
              <c:numCache>
                <c:formatCode>0.00%</c:formatCode>
                <c:ptCount val="6"/>
                <c:pt idx="0">
                  <c:v>0.17928605425987626</c:v>
                </c:pt>
                <c:pt idx="1">
                  <c:v>0.11070918610185626</c:v>
                </c:pt>
                <c:pt idx="2">
                  <c:v>9.9980961446930028E-2</c:v>
                </c:pt>
                <c:pt idx="3">
                  <c:v>0.16898619704902426</c:v>
                </c:pt>
                <c:pt idx="4">
                  <c:v>0.22202760590195145</c:v>
                </c:pt>
                <c:pt idx="5">
                  <c:v>0.21900999524036174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3BC-4F8F-8146-2B49923152F0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958833775"/>
        <c:axId val="958836687"/>
      </c:barChart>
      <c:catAx>
        <c:axId val="958833775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58836687"/>
        <c:crosses val="autoZero"/>
        <c:auto val="1"/>
        <c:lblAlgn val="ctr"/>
        <c:lblOffset val="100"/>
        <c:noMultiLvlLbl val="0"/>
      </c:catAx>
      <c:valAx>
        <c:axId val="95883668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0.00%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58833775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>
            <a:solidFill>
              <a:schemeClr val="lt1">
                <a:lumMod val="95000"/>
                <a:alpha val="54000"/>
              </a:schemeClr>
            </a:solidFill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57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33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510540</xdr:colOff>
      <xdr:row>2</xdr:row>
      <xdr:rowOff>15240</xdr:rowOff>
    </xdr:from>
    <xdr:to>
      <xdr:col>11</xdr:col>
      <xdr:colOff>205740</xdr:colOff>
      <xdr:row>17</xdr:row>
      <xdr:rowOff>15240</xdr:rowOff>
    </xdr:to>
    <xdr:graphicFrame macro="">
      <xdr:nvGraphicFramePr>
        <xdr:cNvPr id="2049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430530</xdr:colOff>
      <xdr:row>2</xdr:row>
      <xdr:rowOff>19050</xdr:rowOff>
    </xdr:from>
    <xdr:to>
      <xdr:col>10</xdr:col>
      <xdr:colOff>125730</xdr:colOff>
      <xdr:row>17</xdr:row>
      <xdr:rowOff>125730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438150</xdr:colOff>
      <xdr:row>1</xdr:row>
      <xdr:rowOff>83820</xdr:rowOff>
    </xdr:from>
    <xdr:to>
      <xdr:col>11</xdr:col>
      <xdr:colOff>312420</xdr:colOff>
      <xdr:row>15</xdr:row>
      <xdr:rowOff>121920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674370</xdr:colOff>
      <xdr:row>1</xdr:row>
      <xdr:rowOff>148590</xdr:rowOff>
    </xdr:from>
    <xdr:to>
      <xdr:col>11</xdr:col>
      <xdr:colOff>38100</xdr:colOff>
      <xdr:row>16</xdr:row>
      <xdr:rowOff>148590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Dark" refreshedDate="46166.972587384262" createdVersion="4" refreshedVersion="6" minRefreshableVersion="3" recordCount="100">
  <cacheSource type="worksheet">
    <worksheetSource name="Table2"/>
  </cacheSource>
  <cacheFields count="13">
    <cacheField name="Order_ID" numFmtId="0">
      <sharedItems containsSemiMixedTypes="0" containsString="0" containsNumber="1" containsInteger="1" minValue="1001" maxValue="1100"/>
    </cacheField>
    <cacheField name="Customer_Name" numFmtId="0">
      <sharedItems/>
    </cacheField>
    <cacheField name="Country" numFmtId="0">
      <sharedItems count="6">
        <s v="USA"/>
        <s v="Canada"/>
        <s v="UAE"/>
        <s v="Germany"/>
        <s v="UK"/>
        <s v="Pakistan"/>
      </sharedItems>
    </cacheField>
    <cacheField name="iPhone_Model" numFmtId="0">
      <sharedItems/>
    </cacheField>
    <cacheField name="Storage" numFmtId="0">
      <sharedItems/>
    </cacheField>
    <cacheField name="Color" numFmtId="0">
      <sharedItems count="5">
        <s v="Purple"/>
        <s v="Blue"/>
        <s v="Black"/>
        <s v="Red"/>
        <s v="White"/>
      </sharedItems>
    </cacheField>
    <cacheField name="Quantity" numFmtId="0">
      <sharedItems containsSemiMixedTypes="0" containsString="0" containsNumber="1" containsInteger="1" minValue="1" maxValue="5"/>
    </cacheField>
    <cacheField name="Price" numFmtId="0">
      <sharedItems containsSemiMixedTypes="0" containsString="0" containsNumber="1" containsInteger="1" minValue="718" maxValue="1992"/>
    </cacheField>
    <cacheField name="Sale_Date" numFmtId="14">
      <sharedItems containsSemiMixedTypes="0" containsNonDate="0" containsDate="1" containsString="0" minDate="2025-01-01T00:00:00" maxDate="2025-05-02T00:00:00" count="65">
        <d v="2025-05-01T00:00:00"/>
        <d v="2025-03-05T00:00:00"/>
        <d v="2025-01-25T00:00:00"/>
        <d v="2025-03-24T00:00:00"/>
        <d v="2025-02-01T00:00:00"/>
        <d v="2025-02-15T00:00:00"/>
        <d v="2025-02-13T00:00:00"/>
        <d v="2025-03-30T00:00:00"/>
        <d v="2025-03-06T00:00:00"/>
        <d v="2025-02-25T00:00:00"/>
        <d v="2025-01-28T00:00:00"/>
        <d v="2025-03-25T00:00:00"/>
        <d v="2025-02-18T00:00:00"/>
        <d v="2025-01-17T00:00:00"/>
        <d v="2025-01-27T00:00:00"/>
        <d v="2025-04-04T00:00:00"/>
        <d v="2025-04-28T00:00:00"/>
        <d v="2025-03-15T00:00:00"/>
        <d v="2025-03-27T00:00:00"/>
        <d v="2025-03-12T00:00:00"/>
        <d v="2025-03-22T00:00:00"/>
        <d v="2025-04-19T00:00:00"/>
        <d v="2025-01-01T00:00:00"/>
        <d v="2025-01-23T00:00:00"/>
        <d v="2025-01-19T00:00:00"/>
        <d v="2025-01-30T00:00:00"/>
        <d v="2025-03-26T00:00:00"/>
        <d v="2025-03-09T00:00:00"/>
        <d v="2025-02-05T00:00:00"/>
        <d v="2025-03-17T00:00:00"/>
        <d v="2025-01-02T00:00:00"/>
        <d v="2025-04-02T00:00:00"/>
        <d v="2025-04-09T00:00:00"/>
        <d v="2025-04-17T00:00:00"/>
        <d v="2025-01-20T00:00:00"/>
        <d v="2025-01-12T00:00:00"/>
        <d v="2025-04-18T00:00:00"/>
        <d v="2025-01-11T00:00:00"/>
        <d v="2025-03-28T00:00:00"/>
        <d v="2025-01-22T00:00:00"/>
        <d v="2025-02-27T00:00:00"/>
        <d v="2025-04-24T00:00:00"/>
        <d v="2025-04-10T00:00:00"/>
        <d v="2025-04-11T00:00:00"/>
        <d v="2025-04-13T00:00:00"/>
        <d v="2025-02-21T00:00:00"/>
        <d v="2025-04-05T00:00:00"/>
        <d v="2025-01-04T00:00:00"/>
        <d v="2025-04-22T00:00:00"/>
        <d v="2025-01-13T00:00:00"/>
        <d v="2025-01-10T00:00:00"/>
        <d v="2025-02-06T00:00:00"/>
        <d v="2025-04-25T00:00:00"/>
        <d v="2025-04-12T00:00:00"/>
        <d v="2025-01-15T00:00:00"/>
        <d v="2025-02-12T00:00:00"/>
        <d v="2025-02-24T00:00:00"/>
        <d v="2025-03-08T00:00:00"/>
        <d v="2025-04-08T00:00:00"/>
        <d v="2025-02-04T00:00:00"/>
        <d v="2025-02-17T00:00:00"/>
        <d v="2025-02-10T00:00:00"/>
        <d v="2025-01-06T00:00:00"/>
        <d v="2025-02-08T00:00:00"/>
        <d v="2025-01-08T00:00:00"/>
      </sharedItems>
      <fieldGroup par="12" base="8">
        <rangePr groupBy="days" startDate="2025-01-01T00:00:00" endDate="2025-05-02T00:00:00"/>
        <groupItems count="368">
          <s v="&lt;1/1/2025"/>
          <s v="1-Jan"/>
          <s v="2-Jan"/>
          <s v="3-Jan"/>
          <s v="4-Jan"/>
          <s v="5-Jan"/>
          <s v="6-Jan"/>
          <s v="7-Jan"/>
          <s v="8-Jan"/>
          <s v="9-Jan"/>
          <s v="10-Jan"/>
          <s v="11-Jan"/>
          <s v="12-Jan"/>
          <s v="13-Jan"/>
          <s v="14-Jan"/>
          <s v="15-Jan"/>
          <s v="16-Jan"/>
          <s v="17-Jan"/>
          <s v="18-Jan"/>
          <s v="19-Jan"/>
          <s v="20-Jan"/>
          <s v="21-Jan"/>
          <s v="22-Jan"/>
          <s v="23-Jan"/>
          <s v="24-Jan"/>
          <s v="25-Jan"/>
          <s v="26-Jan"/>
          <s v="27-Jan"/>
          <s v="28-Jan"/>
          <s v="29-Jan"/>
          <s v="30-Jan"/>
          <s v="31-Jan"/>
          <s v="1-Feb"/>
          <s v="2-Feb"/>
          <s v="3-Feb"/>
          <s v="4-Feb"/>
          <s v="5-Feb"/>
          <s v="6-Feb"/>
          <s v="7-Feb"/>
          <s v="8-Feb"/>
          <s v="9-Feb"/>
          <s v="10-Feb"/>
          <s v="11-Feb"/>
          <s v="12-Feb"/>
          <s v="13-Feb"/>
          <s v="14-Feb"/>
          <s v="15-Feb"/>
          <s v="16-Feb"/>
          <s v="17-Feb"/>
          <s v="18-Feb"/>
          <s v="19-Feb"/>
          <s v="20-Feb"/>
          <s v="21-Feb"/>
          <s v="22-Feb"/>
          <s v="23-Feb"/>
          <s v="24-Feb"/>
          <s v="25-Feb"/>
          <s v="26-Feb"/>
          <s v="27-Feb"/>
          <s v="28-Feb"/>
          <s v="29-Feb"/>
          <s v="1-Mar"/>
          <s v="2-Mar"/>
          <s v="3-Mar"/>
          <s v="4-Mar"/>
          <s v="5-Mar"/>
          <s v="6-Mar"/>
          <s v="7-Mar"/>
          <s v="8-Mar"/>
          <s v="9-Mar"/>
          <s v="10-Mar"/>
          <s v="11-Mar"/>
          <s v="12-Mar"/>
          <s v="13-Mar"/>
          <s v="14-Mar"/>
          <s v="15-Mar"/>
          <s v="16-Mar"/>
          <s v="17-Mar"/>
          <s v="18-Mar"/>
          <s v="19-Mar"/>
          <s v="20-Mar"/>
          <s v="21-Mar"/>
          <s v="22-Mar"/>
          <s v="23-Mar"/>
          <s v="24-Mar"/>
          <s v="25-Mar"/>
          <s v="26-Mar"/>
          <s v="27-Mar"/>
          <s v="28-Mar"/>
          <s v="29-Mar"/>
          <s v="30-Mar"/>
          <s v="31-Mar"/>
          <s v="1-Apr"/>
          <s v="2-Apr"/>
          <s v="3-Apr"/>
          <s v="4-Apr"/>
          <s v="5-Apr"/>
          <s v="6-Apr"/>
          <s v="7-Apr"/>
          <s v="8-Apr"/>
          <s v="9-Apr"/>
          <s v="10-Apr"/>
          <s v="11-Apr"/>
          <s v="12-Apr"/>
          <s v="13-Apr"/>
          <s v="14-Apr"/>
          <s v="15-Apr"/>
          <s v="16-Apr"/>
          <s v="17-Apr"/>
          <s v="18-Apr"/>
          <s v="19-Apr"/>
          <s v="20-Apr"/>
          <s v="21-Apr"/>
          <s v="22-Apr"/>
          <s v="23-Apr"/>
          <s v="24-Apr"/>
          <s v="25-Apr"/>
          <s v="26-Apr"/>
          <s v="27-Apr"/>
          <s v="28-Apr"/>
          <s v="29-Apr"/>
          <s v="30-Apr"/>
          <s v="1-May"/>
          <s v="2-May"/>
          <s v="3-May"/>
          <s v="4-May"/>
          <s v="5-May"/>
          <s v="6-May"/>
          <s v="7-May"/>
          <s v="8-May"/>
          <s v="9-May"/>
          <s v="10-May"/>
          <s v="11-May"/>
          <s v="12-May"/>
          <s v="13-May"/>
          <s v="14-May"/>
          <s v="15-May"/>
          <s v="16-May"/>
          <s v="17-May"/>
          <s v="18-May"/>
          <s v="19-May"/>
          <s v="20-May"/>
          <s v="21-May"/>
          <s v="22-May"/>
          <s v="23-May"/>
          <s v="24-May"/>
          <s v="25-May"/>
          <s v="26-May"/>
          <s v="27-May"/>
          <s v="28-May"/>
          <s v="29-May"/>
          <s v="30-May"/>
          <s v="31-May"/>
          <s v="1-Jun"/>
          <s v="2-Jun"/>
          <s v="3-Jun"/>
          <s v="4-Jun"/>
          <s v="5-Jun"/>
          <s v="6-Jun"/>
          <s v="7-Jun"/>
          <s v="8-Jun"/>
          <s v="9-Jun"/>
          <s v="10-Jun"/>
          <s v="11-Jun"/>
          <s v="12-Jun"/>
          <s v="13-Jun"/>
          <s v="14-Jun"/>
          <s v="15-Jun"/>
          <s v="16-Jun"/>
          <s v="17-Jun"/>
          <s v="18-Jun"/>
          <s v="19-Jun"/>
          <s v="20-Jun"/>
          <s v="21-Jun"/>
          <s v="22-Jun"/>
          <s v="23-Jun"/>
          <s v="24-Jun"/>
          <s v="25-Jun"/>
          <s v="26-Jun"/>
          <s v="27-Jun"/>
          <s v="28-Jun"/>
          <s v="29-Jun"/>
          <s v="30-Jun"/>
          <s v="1-Jul"/>
          <s v="2-Jul"/>
          <s v="3-Jul"/>
          <s v="4-Jul"/>
          <s v="5-Jul"/>
          <s v="6-Jul"/>
          <s v="7-Jul"/>
          <s v="8-Jul"/>
          <s v="9-Jul"/>
          <s v="10-Jul"/>
          <s v="11-Jul"/>
          <s v="12-Jul"/>
          <s v="13-Jul"/>
          <s v="14-Jul"/>
          <s v="15-Jul"/>
          <s v="16-Jul"/>
          <s v="17-Jul"/>
          <s v="18-Jul"/>
          <s v="19-Jul"/>
          <s v="20-Jul"/>
          <s v="21-Jul"/>
          <s v="22-Jul"/>
          <s v="23-Jul"/>
          <s v="24-Jul"/>
          <s v="25-Jul"/>
          <s v="26-Jul"/>
          <s v="27-Jul"/>
          <s v="28-Jul"/>
          <s v="29-Jul"/>
          <s v="30-Jul"/>
          <s v="31-Jul"/>
          <s v="1-Aug"/>
          <s v="2-Aug"/>
          <s v="3-Aug"/>
          <s v="4-Aug"/>
          <s v="5-Aug"/>
          <s v="6-Aug"/>
          <s v="7-Aug"/>
          <s v="8-Aug"/>
          <s v="9-Aug"/>
          <s v="10-Aug"/>
          <s v="11-Aug"/>
          <s v="12-Aug"/>
          <s v="13-Aug"/>
          <s v="14-Aug"/>
          <s v="15-Aug"/>
          <s v="16-Aug"/>
          <s v="17-Aug"/>
          <s v="18-Aug"/>
          <s v="19-Aug"/>
          <s v="20-Aug"/>
          <s v="21-Aug"/>
          <s v="22-Aug"/>
          <s v="23-Aug"/>
          <s v="24-Aug"/>
          <s v="25-Aug"/>
          <s v="26-Aug"/>
          <s v="27-Aug"/>
          <s v="28-Aug"/>
          <s v="29-Aug"/>
          <s v="30-Aug"/>
          <s v="31-Aug"/>
          <s v="1-Sep"/>
          <s v="2-Sep"/>
          <s v="3-Sep"/>
          <s v="4-Sep"/>
          <s v="5-Sep"/>
          <s v="6-Sep"/>
          <s v="7-Sep"/>
          <s v="8-Sep"/>
          <s v="9-Sep"/>
          <s v="10-Sep"/>
          <s v="11-Sep"/>
          <s v="12-Sep"/>
          <s v="13-Sep"/>
          <s v="14-Sep"/>
          <s v="15-Sep"/>
          <s v="16-Sep"/>
          <s v="17-Sep"/>
          <s v="18-Sep"/>
          <s v="19-Sep"/>
          <s v="20-Sep"/>
          <s v="21-Sep"/>
          <s v="22-Sep"/>
          <s v="23-Sep"/>
          <s v="24-Sep"/>
          <s v="25-Sep"/>
          <s v="26-Sep"/>
          <s v="27-Sep"/>
          <s v="28-Sep"/>
          <s v="29-Sep"/>
          <s v="30-Sep"/>
          <s v="1-Oct"/>
          <s v="2-Oct"/>
          <s v="3-Oct"/>
          <s v="4-Oct"/>
          <s v="5-Oct"/>
          <s v="6-Oct"/>
          <s v="7-Oct"/>
          <s v="8-Oct"/>
          <s v="9-Oct"/>
          <s v="10-Oct"/>
          <s v="11-Oct"/>
          <s v="12-Oct"/>
          <s v="13-Oct"/>
          <s v="14-Oct"/>
          <s v="15-Oct"/>
          <s v="16-Oct"/>
          <s v="17-Oct"/>
          <s v="18-Oct"/>
          <s v="19-Oct"/>
          <s v="20-Oct"/>
          <s v="21-Oct"/>
          <s v="22-Oct"/>
          <s v="23-Oct"/>
          <s v="24-Oct"/>
          <s v="25-Oct"/>
          <s v="26-Oct"/>
          <s v="27-Oct"/>
          <s v="28-Oct"/>
          <s v="29-Oct"/>
          <s v="30-Oct"/>
          <s v="31-Oct"/>
          <s v="1-Nov"/>
          <s v="2-Nov"/>
          <s v="3-Nov"/>
          <s v="4-Nov"/>
          <s v="5-Nov"/>
          <s v="6-Nov"/>
          <s v="7-Nov"/>
          <s v="8-Nov"/>
          <s v="9-Nov"/>
          <s v="10-Nov"/>
          <s v="11-Nov"/>
          <s v="12-Nov"/>
          <s v="13-Nov"/>
          <s v="14-Nov"/>
          <s v="15-Nov"/>
          <s v="16-Nov"/>
          <s v="17-Nov"/>
          <s v="18-Nov"/>
          <s v="19-Nov"/>
          <s v="20-Nov"/>
          <s v="21-Nov"/>
          <s v="22-Nov"/>
          <s v="23-Nov"/>
          <s v="24-Nov"/>
          <s v="25-Nov"/>
          <s v="26-Nov"/>
          <s v="27-Nov"/>
          <s v="28-Nov"/>
          <s v="29-Nov"/>
          <s v="30-Nov"/>
          <s v="1-Dec"/>
          <s v="2-Dec"/>
          <s v="3-Dec"/>
          <s v="4-Dec"/>
          <s v="5-Dec"/>
          <s v="6-Dec"/>
          <s v="7-Dec"/>
          <s v="8-Dec"/>
          <s v="9-Dec"/>
          <s v="10-Dec"/>
          <s v="11-Dec"/>
          <s v="12-Dec"/>
          <s v="13-Dec"/>
          <s v="14-Dec"/>
          <s v="15-Dec"/>
          <s v="16-Dec"/>
          <s v="17-Dec"/>
          <s v="18-Dec"/>
          <s v="19-Dec"/>
          <s v="20-Dec"/>
          <s v="21-Dec"/>
          <s v="22-Dec"/>
          <s v="23-Dec"/>
          <s v="24-Dec"/>
          <s v="25-Dec"/>
          <s v="26-Dec"/>
          <s v="27-Dec"/>
          <s v="28-Dec"/>
          <s v="29-Dec"/>
          <s v="30-Dec"/>
          <s v="31-Dec"/>
          <s v="&gt;5/2/2025"/>
        </groupItems>
      </fieldGroup>
    </cacheField>
    <cacheField name="Payment_Method" numFmtId="0">
      <sharedItems count="4">
        <s v="Debit Card"/>
        <s v="PayPal"/>
        <s v="Credit Card"/>
        <s v="Cash"/>
      </sharedItems>
    </cacheField>
    <cacheField name="Column1" numFmtId="0">
      <sharedItems/>
    </cacheField>
    <cacheField name="Column2" numFmtId="0">
      <sharedItems containsNonDate="0" containsString="0" containsBlank="1"/>
    </cacheField>
    <cacheField name="Months" numFmtId="0" databaseField="0">
      <fieldGroup base="8">
        <rangePr groupBy="months" startDate="2025-01-01T00:00:00" endDate="2025-05-02T00:00:00"/>
        <groupItems count="14">
          <s v="&lt;1/1/2025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5/2/2025"/>
        </groupItems>
      </fieldGroup>
    </cacheField>
  </cacheFields>
  <extLst>
    <ext xmlns:x14="http://schemas.microsoft.com/office/spreadsheetml/2009/9/main" uri="{725AE2AE-9491-48be-B2B4-4EB974FC3084}">
      <x14:pivotCacheDefinition pivotCacheId="1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00">
  <r>
    <n v="1001"/>
    <s v="Customer_1"/>
    <x v="0"/>
    <s v="iPhone 13"/>
    <s v="256GB"/>
    <x v="0"/>
    <n v="5"/>
    <n v="1817"/>
    <x v="0"/>
    <x v="0"/>
    <s v="Expensive"/>
    <m/>
  </r>
  <r>
    <n v="1002"/>
    <s v="Customer_2"/>
    <x v="1"/>
    <s v="iPhone 12"/>
    <s v="256GB"/>
    <x v="1"/>
    <n v="1"/>
    <n v="998"/>
    <x v="1"/>
    <x v="1"/>
    <s v="Cheap"/>
    <m/>
  </r>
  <r>
    <n v="1003"/>
    <s v="Customer_3"/>
    <x v="1"/>
    <s v="iPhone 15 Pro Max"/>
    <s v="512GB"/>
    <x v="2"/>
    <n v="5"/>
    <n v="876"/>
    <x v="2"/>
    <x v="2"/>
    <s v="Cheap"/>
    <m/>
  </r>
  <r>
    <n v="1004"/>
    <s v="Customer_4"/>
    <x v="0"/>
    <s v="iPhone 15 Pro Max"/>
    <s v="512GB"/>
    <x v="2"/>
    <n v="2"/>
    <n v="1290"/>
    <x v="3"/>
    <x v="0"/>
    <s v="Good"/>
    <m/>
  </r>
  <r>
    <n v="1005"/>
    <s v="Customer_5"/>
    <x v="0"/>
    <s v="iPhone 15"/>
    <s v="128GB"/>
    <x v="1"/>
    <n v="3"/>
    <n v="1092"/>
    <x v="4"/>
    <x v="0"/>
    <s v="Good"/>
    <m/>
  </r>
  <r>
    <n v="1006"/>
    <s v="Customer_6"/>
    <x v="2"/>
    <s v="iPhone 14 Pro"/>
    <s v="256GB"/>
    <x v="3"/>
    <n v="5"/>
    <n v="1939"/>
    <x v="5"/>
    <x v="0"/>
    <s v="Expensive"/>
    <m/>
  </r>
  <r>
    <n v="1007"/>
    <s v="Customer_7"/>
    <x v="3"/>
    <s v="iPhone 14 Pro"/>
    <s v="512GB"/>
    <x v="1"/>
    <n v="1"/>
    <n v="1798"/>
    <x v="6"/>
    <x v="0"/>
    <s v="Expensive"/>
    <m/>
  </r>
  <r>
    <n v="1008"/>
    <s v="Customer_8"/>
    <x v="4"/>
    <s v="iPhone 15 Pro Max"/>
    <s v="128GB"/>
    <x v="0"/>
    <n v="3"/>
    <n v="1808"/>
    <x v="7"/>
    <x v="0"/>
    <s v="Expensive"/>
    <m/>
  </r>
  <r>
    <n v="1009"/>
    <s v="Customer_9"/>
    <x v="2"/>
    <s v="iPhone 12"/>
    <s v="512GB"/>
    <x v="0"/>
    <n v="2"/>
    <n v="1381"/>
    <x v="8"/>
    <x v="0"/>
    <s v="Good"/>
    <m/>
  </r>
  <r>
    <n v="1010"/>
    <s v="Customer_10"/>
    <x v="5"/>
    <s v="iPhone 14 Pro"/>
    <s v="128GB"/>
    <x v="3"/>
    <n v="5"/>
    <n v="1670"/>
    <x v="9"/>
    <x v="0"/>
    <s v="Expensive"/>
    <m/>
  </r>
  <r>
    <n v="1011"/>
    <s v="Customer_11"/>
    <x v="4"/>
    <s v="iPhone 15 Pro Max"/>
    <s v="256GB"/>
    <x v="4"/>
    <n v="5"/>
    <n v="1857"/>
    <x v="10"/>
    <x v="1"/>
    <s v="Expensive"/>
    <m/>
  </r>
  <r>
    <n v="1012"/>
    <s v="Customer_12"/>
    <x v="0"/>
    <s v="iPhone 14"/>
    <s v="128GB"/>
    <x v="2"/>
    <n v="3"/>
    <n v="1572"/>
    <x v="11"/>
    <x v="3"/>
    <s v="Expensive"/>
    <m/>
  </r>
  <r>
    <n v="1013"/>
    <s v="Customer_13"/>
    <x v="3"/>
    <s v="iPhone 12"/>
    <s v="512GB"/>
    <x v="1"/>
    <n v="3"/>
    <n v="1868"/>
    <x v="12"/>
    <x v="1"/>
    <s v="Expensive"/>
    <m/>
  </r>
  <r>
    <n v="1014"/>
    <s v="Customer_14"/>
    <x v="0"/>
    <s v="iPhone 12"/>
    <s v="512GB"/>
    <x v="2"/>
    <n v="3"/>
    <n v="1743"/>
    <x v="13"/>
    <x v="2"/>
    <s v="Expensive"/>
    <m/>
  </r>
  <r>
    <n v="1015"/>
    <s v="Customer_15"/>
    <x v="2"/>
    <s v="iPhone 14 Pro"/>
    <s v="256GB"/>
    <x v="1"/>
    <n v="1"/>
    <n v="1544"/>
    <x v="14"/>
    <x v="2"/>
    <s v="Expensive"/>
    <m/>
  </r>
  <r>
    <n v="1016"/>
    <s v="Customer_16"/>
    <x v="2"/>
    <s v="iPhone 12"/>
    <s v="128GB"/>
    <x v="1"/>
    <n v="4"/>
    <n v="1819"/>
    <x v="15"/>
    <x v="0"/>
    <s v="Expensive"/>
    <m/>
  </r>
  <r>
    <n v="1017"/>
    <s v="Customer_17"/>
    <x v="3"/>
    <s v="iPhone 13"/>
    <s v="512GB"/>
    <x v="3"/>
    <n v="5"/>
    <n v="1992"/>
    <x v="16"/>
    <x v="1"/>
    <s v="Expensive"/>
    <m/>
  </r>
  <r>
    <n v="1018"/>
    <s v="Customer_18"/>
    <x v="1"/>
    <s v="iPhone 14 Pro"/>
    <s v="256GB"/>
    <x v="3"/>
    <n v="2"/>
    <n v="1003"/>
    <x v="15"/>
    <x v="1"/>
    <s v="Good"/>
    <m/>
  </r>
  <r>
    <n v="1019"/>
    <s v="Customer_19"/>
    <x v="2"/>
    <s v="iPhone 13"/>
    <s v="128GB"/>
    <x v="0"/>
    <n v="1"/>
    <n v="1010"/>
    <x v="17"/>
    <x v="0"/>
    <s v="Good"/>
    <m/>
  </r>
  <r>
    <n v="1020"/>
    <s v="Customer_20"/>
    <x v="2"/>
    <s v="iPhone 15"/>
    <s v="256GB"/>
    <x v="0"/>
    <n v="3"/>
    <n v="1588"/>
    <x v="18"/>
    <x v="0"/>
    <s v="Expensive"/>
    <m/>
  </r>
  <r>
    <n v="1021"/>
    <s v="Customer_21"/>
    <x v="5"/>
    <s v="iPhone 15"/>
    <s v="256GB"/>
    <x v="3"/>
    <n v="3"/>
    <n v="742"/>
    <x v="19"/>
    <x v="3"/>
    <s v="Cheap"/>
    <m/>
  </r>
  <r>
    <n v="1022"/>
    <s v="Customer_22"/>
    <x v="5"/>
    <s v="iPhone 15"/>
    <s v="128GB"/>
    <x v="2"/>
    <n v="4"/>
    <n v="1627"/>
    <x v="20"/>
    <x v="1"/>
    <s v="Expensive"/>
    <m/>
  </r>
  <r>
    <n v="1023"/>
    <s v="Customer_23"/>
    <x v="0"/>
    <s v="iPhone 15"/>
    <s v="128GB"/>
    <x v="3"/>
    <n v="5"/>
    <n v="1964"/>
    <x v="21"/>
    <x v="3"/>
    <s v="Expensive"/>
    <m/>
  </r>
  <r>
    <n v="1024"/>
    <s v="Customer_24"/>
    <x v="4"/>
    <s v="iPhone 15"/>
    <s v="256GB"/>
    <x v="4"/>
    <n v="4"/>
    <n v="817"/>
    <x v="22"/>
    <x v="3"/>
    <s v="Cheap"/>
    <m/>
  </r>
  <r>
    <n v="1025"/>
    <s v="Customer_25"/>
    <x v="4"/>
    <s v="iPhone 15 Pro Max"/>
    <s v="128GB"/>
    <x v="0"/>
    <n v="5"/>
    <n v="1571"/>
    <x v="23"/>
    <x v="0"/>
    <s v="Expensive"/>
    <m/>
  </r>
  <r>
    <n v="1026"/>
    <s v="Customer_26"/>
    <x v="2"/>
    <s v="iPhone 14"/>
    <s v="128GB"/>
    <x v="3"/>
    <n v="3"/>
    <n v="1302"/>
    <x v="18"/>
    <x v="0"/>
    <s v="Good"/>
    <m/>
  </r>
  <r>
    <n v="1027"/>
    <s v="Customer_27"/>
    <x v="0"/>
    <s v="iPhone 13"/>
    <s v="256GB"/>
    <x v="4"/>
    <n v="5"/>
    <n v="1060"/>
    <x v="24"/>
    <x v="3"/>
    <s v="Good"/>
    <m/>
  </r>
  <r>
    <n v="1028"/>
    <s v="Customer_28"/>
    <x v="4"/>
    <s v="iPhone 13"/>
    <s v="128GB"/>
    <x v="1"/>
    <n v="4"/>
    <n v="1879"/>
    <x v="25"/>
    <x v="2"/>
    <s v="Expensive"/>
    <m/>
  </r>
  <r>
    <n v="1029"/>
    <s v="Customer_29"/>
    <x v="1"/>
    <s v="iPhone 14 Pro"/>
    <s v="256GB"/>
    <x v="3"/>
    <n v="3"/>
    <n v="1963"/>
    <x v="7"/>
    <x v="0"/>
    <s v="Expensive"/>
    <m/>
  </r>
  <r>
    <n v="1030"/>
    <s v="Customer_30"/>
    <x v="1"/>
    <s v="iPhone 14"/>
    <s v="512GB"/>
    <x v="1"/>
    <n v="5"/>
    <n v="1673"/>
    <x v="24"/>
    <x v="0"/>
    <s v="Expensive"/>
    <m/>
  </r>
  <r>
    <n v="1031"/>
    <s v="Customer_31"/>
    <x v="2"/>
    <s v="iPhone 13"/>
    <s v="256GB"/>
    <x v="0"/>
    <n v="5"/>
    <n v="1135"/>
    <x v="26"/>
    <x v="0"/>
    <s v="Good"/>
    <m/>
  </r>
  <r>
    <n v="1032"/>
    <s v="Customer_32"/>
    <x v="0"/>
    <s v="iPhone 15 Pro Max"/>
    <s v="128GB"/>
    <x v="1"/>
    <n v="5"/>
    <n v="1550"/>
    <x v="27"/>
    <x v="1"/>
    <s v="Expensive"/>
    <m/>
  </r>
  <r>
    <n v="1033"/>
    <s v="Customer_33"/>
    <x v="1"/>
    <s v="iPhone 14"/>
    <s v="128GB"/>
    <x v="1"/>
    <n v="5"/>
    <n v="1646"/>
    <x v="28"/>
    <x v="1"/>
    <s v="Expensive"/>
    <m/>
  </r>
  <r>
    <n v="1034"/>
    <s v="Customer_34"/>
    <x v="0"/>
    <s v="iPhone 14 Pro"/>
    <s v="128GB"/>
    <x v="3"/>
    <n v="4"/>
    <n v="1559"/>
    <x v="29"/>
    <x v="0"/>
    <s v="Expensive"/>
    <m/>
  </r>
  <r>
    <n v="1035"/>
    <s v="Customer_35"/>
    <x v="1"/>
    <s v="iPhone 14 Pro"/>
    <s v="128GB"/>
    <x v="4"/>
    <n v="5"/>
    <n v="1793"/>
    <x v="30"/>
    <x v="3"/>
    <s v="Expensive"/>
    <m/>
  </r>
  <r>
    <n v="1036"/>
    <s v="Customer_36"/>
    <x v="0"/>
    <s v="iPhone 12"/>
    <s v="512GB"/>
    <x v="1"/>
    <n v="5"/>
    <n v="1030"/>
    <x v="31"/>
    <x v="2"/>
    <s v="Good"/>
    <m/>
  </r>
  <r>
    <n v="1037"/>
    <s v="Customer_37"/>
    <x v="1"/>
    <s v="iPhone 14 Pro"/>
    <s v="128GB"/>
    <x v="3"/>
    <n v="2"/>
    <n v="1921"/>
    <x v="32"/>
    <x v="2"/>
    <s v="Expensive"/>
    <m/>
  </r>
  <r>
    <n v="1038"/>
    <s v="Customer_38"/>
    <x v="2"/>
    <s v="iPhone 14 Pro"/>
    <s v="128GB"/>
    <x v="0"/>
    <n v="1"/>
    <n v="1674"/>
    <x v="33"/>
    <x v="2"/>
    <s v="Expensive"/>
    <m/>
  </r>
  <r>
    <n v="1039"/>
    <s v="Customer_39"/>
    <x v="1"/>
    <s v="iPhone 15 Pro Max"/>
    <s v="256GB"/>
    <x v="3"/>
    <n v="1"/>
    <n v="1218"/>
    <x v="2"/>
    <x v="2"/>
    <s v="Good"/>
    <m/>
  </r>
  <r>
    <n v="1040"/>
    <s v="Customer_40"/>
    <x v="2"/>
    <s v="iPhone 15 Pro Max"/>
    <s v="256GB"/>
    <x v="0"/>
    <n v="4"/>
    <n v="1034"/>
    <x v="0"/>
    <x v="2"/>
    <s v="Good"/>
    <m/>
  </r>
  <r>
    <n v="1041"/>
    <s v="Customer_41"/>
    <x v="4"/>
    <s v="iPhone 15"/>
    <s v="128GB"/>
    <x v="2"/>
    <n v="3"/>
    <n v="1633"/>
    <x v="18"/>
    <x v="2"/>
    <s v="Expensive"/>
    <m/>
  </r>
  <r>
    <n v="1042"/>
    <s v="Customer_42"/>
    <x v="4"/>
    <s v="iPhone 15"/>
    <s v="256GB"/>
    <x v="2"/>
    <n v="4"/>
    <n v="720"/>
    <x v="34"/>
    <x v="0"/>
    <s v="Cheap"/>
    <m/>
  </r>
  <r>
    <n v="1043"/>
    <s v="Customer_43"/>
    <x v="2"/>
    <s v="iPhone 15"/>
    <s v="128GB"/>
    <x v="3"/>
    <n v="2"/>
    <n v="1238"/>
    <x v="20"/>
    <x v="2"/>
    <s v="Good"/>
    <m/>
  </r>
  <r>
    <n v="1044"/>
    <s v="Customer_44"/>
    <x v="0"/>
    <s v="iPhone 13"/>
    <s v="256GB"/>
    <x v="4"/>
    <n v="4"/>
    <n v="1779"/>
    <x v="35"/>
    <x v="0"/>
    <s v="Expensive"/>
    <m/>
  </r>
  <r>
    <n v="1045"/>
    <s v="Customer_45"/>
    <x v="4"/>
    <s v="iPhone 13"/>
    <s v="256GB"/>
    <x v="0"/>
    <n v="5"/>
    <n v="1667"/>
    <x v="36"/>
    <x v="0"/>
    <s v="Expensive"/>
    <m/>
  </r>
  <r>
    <n v="1046"/>
    <s v="Customer_46"/>
    <x v="3"/>
    <s v="iPhone 15 Pro Max"/>
    <s v="512GB"/>
    <x v="1"/>
    <n v="1"/>
    <n v="1094"/>
    <x v="35"/>
    <x v="1"/>
    <s v="Good"/>
    <m/>
  </r>
  <r>
    <n v="1047"/>
    <s v="Customer_47"/>
    <x v="0"/>
    <s v="iPhone 12"/>
    <s v="256GB"/>
    <x v="4"/>
    <n v="5"/>
    <n v="1120"/>
    <x v="37"/>
    <x v="1"/>
    <s v="Good"/>
    <m/>
  </r>
  <r>
    <n v="1048"/>
    <s v="Customer_48"/>
    <x v="0"/>
    <s v="iPhone 14"/>
    <s v="256GB"/>
    <x v="2"/>
    <n v="5"/>
    <n v="1786"/>
    <x v="38"/>
    <x v="3"/>
    <s v="Expensive"/>
    <m/>
  </r>
  <r>
    <n v="1049"/>
    <s v="Customer_49"/>
    <x v="1"/>
    <s v="iPhone 14"/>
    <s v="128GB"/>
    <x v="2"/>
    <n v="1"/>
    <n v="1199"/>
    <x v="18"/>
    <x v="0"/>
    <s v="Good"/>
    <m/>
  </r>
  <r>
    <n v="1050"/>
    <s v="Customer_50"/>
    <x v="1"/>
    <s v="iPhone 14 Pro"/>
    <s v="128GB"/>
    <x v="1"/>
    <n v="1"/>
    <n v="733"/>
    <x v="35"/>
    <x v="3"/>
    <s v="Cheap"/>
    <m/>
  </r>
  <r>
    <n v="1051"/>
    <s v="Customer_51"/>
    <x v="4"/>
    <s v="iPhone 15 Pro Max"/>
    <s v="256GB"/>
    <x v="1"/>
    <n v="5"/>
    <n v="1113"/>
    <x v="39"/>
    <x v="2"/>
    <s v="Good"/>
    <m/>
  </r>
  <r>
    <n v="1052"/>
    <s v="Customer_52"/>
    <x v="5"/>
    <s v="iPhone 14"/>
    <s v="512GB"/>
    <x v="1"/>
    <n v="5"/>
    <n v="764"/>
    <x v="19"/>
    <x v="0"/>
    <s v="Cheap"/>
    <m/>
  </r>
  <r>
    <n v="1053"/>
    <s v="Customer_53"/>
    <x v="0"/>
    <s v="iPhone 14 Pro"/>
    <s v="128GB"/>
    <x v="2"/>
    <n v="1"/>
    <n v="1959"/>
    <x v="40"/>
    <x v="1"/>
    <s v="Expensive"/>
    <m/>
  </r>
  <r>
    <n v="1054"/>
    <s v="Customer_54"/>
    <x v="4"/>
    <s v="iPhone 14"/>
    <s v="256GB"/>
    <x v="4"/>
    <n v="1"/>
    <n v="1829"/>
    <x v="41"/>
    <x v="2"/>
    <s v="Expensive"/>
    <m/>
  </r>
  <r>
    <n v="1055"/>
    <s v="Customer_55"/>
    <x v="5"/>
    <s v="iPhone 14 Pro"/>
    <s v="128GB"/>
    <x v="1"/>
    <n v="2"/>
    <n v="899"/>
    <x v="42"/>
    <x v="1"/>
    <s v="Cheap"/>
    <m/>
  </r>
  <r>
    <n v="1056"/>
    <s v="Customer_56"/>
    <x v="0"/>
    <s v="iPhone 15"/>
    <s v="512GB"/>
    <x v="2"/>
    <n v="5"/>
    <n v="1250"/>
    <x v="30"/>
    <x v="0"/>
    <s v="Good"/>
    <m/>
  </r>
  <r>
    <n v="1057"/>
    <s v="Customer_57"/>
    <x v="5"/>
    <s v="iPhone 14 Pro"/>
    <s v="256GB"/>
    <x v="1"/>
    <n v="1"/>
    <n v="945"/>
    <x v="0"/>
    <x v="0"/>
    <s v="Cheap"/>
    <m/>
  </r>
  <r>
    <n v="1058"/>
    <s v="Customer_58"/>
    <x v="4"/>
    <s v="iPhone 15 Pro Max"/>
    <s v="256GB"/>
    <x v="0"/>
    <n v="5"/>
    <n v="1752"/>
    <x v="43"/>
    <x v="0"/>
    <s v="Expensive"/>
    <m/>
  </r>
  <r>
    <n v="1059"/>
    <s v="Customer_59"/>
    <x v="5"/>
    <s v="iPhone 14 Pro"/>
    <s v="512GB"/>
    <x v="3"/>
    <n v="4"/>
    <n v="1909"/>
    <x v="44"/>
    <x v="0"/>
    <s v="Expensive"/>
    <m/>
  </r>
  <r>
    <n v="1060"/>
    <s v="Customer_60"/>
    <x v="3"/>
    <s v="iPhone 14 Pro"/>
    <s v="512GB"/>
    <x v="1"/>
    <n v="5"/>
    <n v="1714"/>
    <x v="35"/>
    <x v="2"/>
    <s v="Expensive"/>
    <m/>
  </r>
  <r>
    <n v="1061"/>
    <s v="Customer_61"/>
    <x v="2"/>
    <s v="iPhone 15"/>
    <s v="512GB"/>
    <x v="2"/>
    <n v="5"/>
    <n v="1519"/>
    <x v="45"/>
    <x v="0"/>
    <s v="Expensive"/>
    <m/>
  </r>
  <r>
    <n v="1062"/>
    <s v="Customer_62"/>
    <x v="1"/>
    <s v="iPhone 13"/>
    <s v="512GB"/>
    <x v="0"/>
    <n v="4"/>
    <n v="1769"/>
    <x v="46"/>
    <x v="1"/>
    <s v="Expensive"/>
    <m/>
  </r>
  <r>
    <n v="1063"/>
    <s v="Customer_63"/>
    <x v="1"/>
    <s v="iPhone 15 Pro Max"/>
    <s v="128GB"/>
    <x v="4"/>
    <n v="5"/>
    <n v="1644"/>
    <x v="45"/>
    <x v="2"/>
    <s v="Expensive"/>
    <m/>
  </r>
  <r>
    <n v="1064"/>
    <s v="Customer_64"/>
    <x v="4"/>
    <s v="iPhone 15 Pro Max"/>
    <s v="512GB"/>
    <x v="3"/>
    <n v="2"/>
    <n v="1991"/>
    <x v="10"/>
    <x v="3"/>
    <s v="Expensive"/>
    <m/>
  </r>
  <r>
    <n v="1065"/>
    <s v="Customer_65"/>
    <x v="1"/>
    <s v="iPhone 14"/>
    <s v="256GB"/>
    <x v="4"/>
    <n v="3"/>
    <n v="1706"/>
    <x v="47"/>
    <x v="0"/>
    <s v="Expensive"/>
    <m/>
  </r>
  <r>
    <n v="1066"/>
    <s v="Customer_66"/>
    <x v="0"/>
    <s v="iPhone 14"/>
    <s v="256GB"/>
    <x v="4"/>
    <n v="1"/>
    <n v="1884"/>
    <x v="38"/>
    <x v="0"/>
    <s v="Expensive"/>
    <m/>
  </r>
  <r>
    <n v="1067"/>
    <s v="Customer_67"/>
    <x v="1"/>
    <s v="iPhone 14 Pro"/>
    <s v="128GB"/>
    <x v="1"/>
    <n v="3"/>
    <n v="1027"/>
    <x v="48"/>
    <x v="0"/>
    <s v="Good"/>
    <m/>
  </r>
  <r>
    <n v="1068"/>
    <s v="Customer_68"/>
    <x v="5"/>
    <s v="iPhone 15 Pro Max"/>
    <s v="128GB"/>
    <x v="2"/>
    <n v="2"/>
    <n v="788"/>
    <x v="46"/>
    <x v="2"/>
    <s v="Cheap"/>
    <m/>
  </r>
  <r>
    <n v="1069"/>
    <s v="Customer_69"/>
    <x v="3"/>
    <s v="iPhone 14 Pro"/>
    <s v="128GB"/>
    <x v="4"/>
    <n v="3"/>
    <n v="796"/>
    <x v="2"/>
    <x v="1"/>
    <s v="Cheap"/>
    <m/>
  </r>
  <r>
    <n v="1070"/>
    <s v="Customer_70"/>
    <x v="1"/>
    <s v="iPhone 14 Pro"/>
    <s v="512GB"/>
    <x v="1"/>
    <n v="4"/>
    <n v="1829"/>
    <x v="49"/>
    <x v="2"/>
    <s v="Expensive"/>
    <m/>
  </r>
  <r>
    <n v="1071"/>
    <s v="Customer_71"/>
    <x v="4"/>
    <s v="iPhone 12"/>
    <s v="512GB"/>
    <x v="0"/>
    <n v="2"/>
    <n v="1977"/>
    <x v="50"/>
    <x v="3"/>
    <s v="Expensive"/>
    <m/>
  </r>
  <r>
    <n v="1072"/>
    <s v="Customer_72"/>
    <x v="2"/>
    <s v="iPhone 12"/>
    <s v="128GB"/>
    <x v="3"/>
    <n v="5"/>
    <n v="1964"/>
    <x v="51"/>
    <x v="0"/>
    <s v="Expensive"/>
    <m/>
  </r>
  <r>
    <n v="1073"/>
    <s v="Customer_73"/>
    <x v="0"/>
    <s v="iPhone 14 Pro"/>
    <s v="128GB"/>
    <x v="3"/>
    <n v="2"/>
    <n v="1629"/>
    <x v="10"/>
    <x v="3"/>
    <s v="Expensive"/>
    <m/>
  </r>
  <r>
    <n v="1074"/>
    <s v="Customer_74"/>
    <x v="3"/>
    <s v="iPhone 15 Pro Max"/>
    <s v="256GB"/>
    <x v="4"/>
    <n v="1"/>
    <n v="1987"/>
    <x v="52"/>
    <x v="1"/>
    <s v="Expensive"/>
    <m/>
  </r>
  <r>
    <n v="1075"/>
    <s v="Customer_75"/>
    <x v="3"/>
    <s v="iPhone 14"/>
    <s v="512GB"/>
    <x v="1"/>
    <n v="4"/>
    <n v="1547"/>
    <x v="50"/>
    <x v="3"/>
    <s v="Expensive"/>
    <m/>
  </r>
  <r>
    <n v="1076"/>
    <s v="Customer_76"/>
    <x v="4"/>
    <s v="iPhone 14 Pro"/>
    <s v="256GB"/>
    <x v="3"/>
    <n v="5"/>
    <n v="1923"/>
    <x v="53"/>
    <x v="3"/>
    <s v="Expensive"/>
    <m/>
  </r>
  <r>
    <n v="1077"/>
    <s v="Customer_77"/>
    <x v="2"/>
    <s v="iPhone 14 Pro"/>
    <s v="512GB"/>
    <x v="1"/>
    <n v="2"/>
    <n v="1477"/>
    <x v="40"/>
    <x v="1"/>
    <s v="Good"/>
    <m/>
  </r>
  <r>
    <n v="1078"/>
    <s v="Customer_78"/>
    <x v="5"/>
    <s v="iPhone 13"/>
    <s v="128GB"/>
    <x v="0"/>
    <n v="4"/>
    <n v="1464"/>
    <x v="54"/>
    <x v="3"/>
    <s v="Good"/>
    <m/>
  </r>
  <r>
    <n v="1079"/>
    <s v="Customer_79"/>
    <x v="0"/>
    <s v="iPhone 15"/>
    <s v="128GB"/>
    <x v="0"/>
    <n v="3"/>
    <n v="1790"/>
    <x v="55"/>
    <x v="2"/>
    <s v="Expensive"/>
    <m/>
  </r>
  <r>
    <n v="1080"/>
    <s v="Customer_80"/>
    <x v="0"/>
    <s v="iPhone 15"/>
    <s v="512GB"/>
    <x v="0"/>
    <n v="4"/>
    <n v="1819"/>
    <x v="56"/>
    <x v="0"/>
    <s v="Expensive"/>
    <m/>
  </r>
  <r>
    <n v="1081"/>
    <s v="Customer_81"/>
    <x v="5"/>
    <s v="iPhone 13"/>
    <s v="256GB"/>
    <x v="0"/>
    <n v="5"/>
    <n v="1579"/>
    <x v="1"/>
    <x v="2"/>
    <s v="Expensive"/>
    <m/>
  </r>
  <r>
    <n v="1082"/>
    <s v="Customer_82"/>
    <x v="4"/>
    <s v="iPhone 15 Pro Max"/>
    <s v="256GB"/>
    <x v="1"/>
    <n v="1"/>
    <n v="756"/>
    <x v="38"/>
    <x v="0"/>
    <s v="Cheap"/>
    <m/>
  </r>
  <r>
    <n v="1083"/>
    <s v="Customer_83"/>
    <x v="4"/>
    <s v="iPhone 14 Pro"/>
    <s v="128GB"/>
    <x v="4"/>
    <n v="3"/>
    <n v="1165"/>
    <x v="57"/>
    <x v="3"/>
    <s v="Good"/>
    <m/>
  </r>
  <r>
    <n v="1084"/>
    <s v="Customer_84"/>
    <x v="3"/>
    <s v="iPhone 13"/>
    <s v="256GB"/>
    <x v="3"/>
    <n v="5"/>
    <n v="1229"/>
    <x v="20"/>
    <x v="3"/>
    <s v="Good"/>
    <m/>
  </r>
  <r>
    <n v="1085"/>
    <s v="Customer_85"/>
    <x v="4"/>
    <s v="iPhone 12"/>
    <s v="256GB"/>
    <x v="4"/>
    <n v="4"/>
    <n v="1656"/>
    <x v="53"/>
    <x v="3"/>
    <s v="Expensive"/>
    <m/>
  </r>
  <r>
    <n v="1086"/>
    <s v="Customer_86"/>
    <x v="3"/>
    <s v="iPhone 12"/>
    <s v="256GB"/>
    <x v="2"/>
    <n v="2"/>
    <n v="950"/>
    <x v="58"/>
    <x v="3"/>
    <s v="Cheap"/>
    <m/>
  </r>
  <r>
    <n v="1087"/>
    <s v="Customer_87"/>
    <x v="1"/>
    <s v="iPhone 15"/>
    <s v="128GB"/>
    <x v="4"/>
    <n v="1"/>
    <n v="1903"/>
    <x v="30"/>
    <x v="1"/>
    <s v="Expensive"/>
    <m/>
  </r>
  <r>
    <n v="1088"/>
    <s v="Customer_88"/>
    <x v="4"/>
    <s v="iPhone 15 Pro Max"/>
    <s v="512GB"/>
    <x v="0"/>
    <n v="5"/>
    <n v="718"/>
    <x v="59"/>
    <x v="3"/>
    <s v="Cheap"/>
    <m/>
  </r>
  <r>
    <n v="1089"/>
    <s v="Customer_89"/>
    <x v="0"/>
    <s v="iPhone 13"/>
    <s v="256GB"/>
    <x v="4"/>
    <n v="3"/>
    <n v="1249"/>
    <x v="35"/>
    <x v="0"/>
    <s v="Good"/>
    <m/>
  </r>
  <r>
    <n v="1090"/>
    <s v="Customer_90"/>
    <x v="0"/>
    <s v="iPhone 12"/>
    <s v="256GB"/>
    <x v="4"/>
    <n v="3"/>
    <n v="887"/>
    <x v="60"/>
    <x v="0"/>
    <s v="Cheap"/>
    <m/>
  </r>
  <r>
    <n v="1091"/>
    <s v="Customer_91"/>
    <x v="2"/>
    <s v="iPhone 15"/>
    <s v="256GB"/>
    <x v="3"/>
    <n v="5"/>
    <n v="1357"/>
    <x v="20"/>
    <x v="1"/>
    <s v="Good"/>
    <m/>
  </r>
  <r>
    <n v="1092"/>
    <s v="Customer_92"/>
    <x v="2"/>
    <s v="iPhone 15 Pro Max"/>
    <s v="256GB"/>
    <x v="4"/>
    <n v="3"/>
    <n v="1361"/>
    <x v="61"/>
    <x v="2"/>
    <s v="Good"/>
    <m/>
  </r>
  <r>
    <n v="1093"/>
    <s v="Customer_93"/>
    <x v="4"/>
    <s v="iPhone 12"/>
    <s v="256GB"/>
    <x v="2"/>
    <n v="3"/>
    <n v="1971"/>
    <x v="34"/>
    <x v="2"/>
    <s v="Expensive"/>
    <m/>
  </r>
  <r>
    <n v="1094"/>
    <s v="Customer_94"/>
    <x v="0"/>
    <s v="iPhone 15 Pro Max"/>
    <s v="512GB"/>
    <x v="4"/>
    <n v="1"/>
    <n v="1622"/>
    <x v="20"/>
    <x v="2"/>
    <s v="Expensive"/>
    <m/>
  </r>
  <r>
    <n v="1095"/>
    <s v="Customer_95"/>
    <x v="1"/>
    <s v="iPhone 13"/>
    <s v="128GB"/>
    <x v="4"/>
    <n v="4"/>
    <n v="1388"/>
    <x v="62"/>
    <x v="2"/>
    <s v="Good"/>
    <m/>
  </r>
  <r>
    <n v="1096"/>
    <s v="Customer_96"/>
    <x v="2"/>
    <s v="iPhone 14 Pro"/>
    <s v="256GB"/>
    <x v="1"/>
    <n v="1"/>
    <n v="1743"/>
    <x v="27"/>
    <x v="2"/>
    <s v="Expensive"/>
    <m/>
  </r>
  <r>
    <n v="1097"/>
    <s v="Customer_97"/>
    <x v="4"/>
    <s v="iPhone 15 Pro Max"/>
    <s v="512GB"/>
    <x v="4"/>
    <n v="3"/>
    <n v="1671"/>
    <x v="63"/>
    <x v="2"/>
    <s v="Expensive"/>
    <m/>
  </r>
  <r>
    <n v="1098"/>
    <s v="Customer_98"/>
    <x v="4"/>
    <s v="iPhone 15 Pro Max"/>
    <s v="512GB"/>
    <x v="4"/>
    <n v="4"/>
    <n v="1125"/>
    <x v="64"/>
    <x v="0"/>
    <s v="Good"/>
    <m/>
  </r>
  <r>
    <n v="1099"/>
    <s v="Customer_99"/>
    <x v="3"/>
    <s v="iPhone 15 Pro Max"/>
    <s v="512GB"/>
    <x v="0"/>
    <n v="5"/>
    <n v="1540"/>
    <x v="59"/>
    <x v="0"/>
    <s v="Expensive"/>
    <m/>
  </r>
  <r>
    <n v="1100"/>
    <s v="Customer_100"/>
    <x v="4"/>
    <s v="iPhone 15"/>
    <s v="512GB"/>
    <x v="1"/>
    <n v="3"/>
    <n v="1549"/>
    <x v="38"/>
    <x v="0"/>
    <s v="Expensive"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Color" cacheId="27" applyNumberFormats="0" applyBorderFormats="0" applyFontFormats="0" applyPatternFormats="0" applyAlignmentFormats="0" applyWidthHeightFormats="1" dataCaption="Values" updatedVersion="6" minRefreshableVersion="3" useAutoFormatting="1" rowGrandTotals="0" colGrandTotals="0" itemPrintTitles="1" createdVersion="6" indent="0" compact="0" compactData="0" multipleFieldFilters="0" chartFormat="1">
  <location ref="A3:B8" firstHeaderRow="1" firstDataRow="1" firstDataCol="1"/>
  <pivotFields count="13">
    <pivotField dataField="1" compact="0" outline="0" showAll="0" defaultSubtotal="0"/>
    <pivotField compact="0" outline="0" showAll="0" defaultSubtotal="0"/>
    <pivotField compact="0" outline="0" showAll="0" defaultSubtotal="0">
      <items count="6">
        <item x="1"/>
        <item x="3"/>
        <item x="5"/>
        <item x="2"/>
        <item x="4"/>
        <item x="0"/>
      </items>
    </pivotField>
    <pivotField compact="0" outline="0" showAll="0" defaultSubtotal="0"/>
    <pivotField compact="0" outline="0" showAll="0" defaultSubtotal="0"/>
    <pivotField axis="axisRow" compact="0" outline="0" showAll="0" defaultSubtotal="0">
      <items count="5">
        <item x="2"/>
        <item x="1"/>
        <item x="0"/>
        <item x="3"/>
        <item x="4"/>
      </items>
    </pivotField>
    <pivotField compact="0" outline="0" showAll="0" defaultSubtotal="0"/>
    <pivotField compact="0" outline="0" showAll="0" defaultSubtotal="0"/>
    <pivotField compact="0" numFmtId="14" outline="0" showAll="0" defaultSubtotal="0">
      <items count="36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</items>
    </pivotField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</items>
    </pivotField>
  </pivotFields>
  <rowFields count="1">
    <field x="5"/>
  </rowFields>
  <rowItems count="5">
    <i>
      <x/>
    </i>
    <i>
      <x v="1"/>
    </i>
    <i>
      <x v="2"/>
    </i>
    <i>
      <x v="3"/>
    </i>
    <i>
      <x v="4"/>
    </i>
  </rowItems>
  <colItems count="1">
    <i/>
  </colItems>
  <dataFields count="1">
    <dataField name="Total Sales" fld="0" subtotal="count" showDataAs="percentOfTotal" baseField="0" baseItem="0" numFmtId="9"/>
  </dataFields>
  <formats count="30">
    <format dxfId="67">
      <pivotArea dataOnly="0" labelOnly="1" outline="0" axis="axisValues" fieldPosition="0"/>
    </format>
    <format dxfId="66">
      <pivotArea dataOnly="0" labelOnly="1" outline="0" axis="axisValues" fieldPosition="0"/>
    </format>
    <format dxfId="65">
      <pivotArea dataOnly="0" labelOnly="1" outline="0" axis="axisValues" fieldPosition="0"/>
    </format>
    <format dxfId="64">
      <pivotArea dataOnly="0" labelOnly="1" outline="0" axis="axisValues" fieldPosition="0"/>
    </format>
    <format dxfId="63">
      <pivotArea dataOnly="0" labelOnly="1" outline="0" axis="axisValues" fieldPosition="0"/>
    </format>
    <format dxfId="62">
      <pivotArea dataOnly="0" labelOnly="1" outline="0" axis="axisValues" fieldPosition="0"/>
    </format>
    <format dxfId="61">
      <pivotArea dataOnly="0" labelOnly="1" outline="0" axis="axisValues" fieldPosition="0"/>
    </format>
    <format dxfId="60">
      <pivotArea dataOnly="0" labelOnly="1" outline="0" axis="axisValues" fieldPosition="0"/>
    </format>
    <format dxfId="59">
      <pivotArea outline="0" fieldPosition="0">
        <references count="1">
          <reference field="4294967294" count="1">
            <x v="0"/>
          </reference>
        </references>
      </pivotArea>
    </format>
    <format dxfId="58">
      <pivotArea dataOnly="0" labelOnly="1" outline="0" axis="axisValues" fieldPosition="0"/>
    </format>
    <format dxfId="57">
      <pivotArea dataOnly="0" labelOnly="1" outline="0" axis="axisValues" fieldPosition="0"/>
    </format>
    <format dxfId="56">
      <pivotArea dataOnly="0" labelOnly="1" outline="0" axis="axisValues" fieldPosition="0"/>
    </format>
    <format dxfId="55">
      <pivotArea dataOnly="0" labelOnly="1" outline="0" axis="axisValues" fieldPosition="0"/>
    </format>
    <format dxfId="54">
      <pivotArea dataOnly="0" labelOnly="1" outline="0" axis="axisValues" fieldPosition="0"/>
    </format>
    <format dxfId="53">
      <pivotArea dataOnly="0" labelOnly="1" outline="0" axis="axisValues" fieldPosition="0"/>
    </format>
    <format dxfId="52">
      <pivotArea dataOnly="0" labelOnly="1" outline="0" axis="axisValues" fieldPosition="0"/>
    </format>
    <format dxfId="51">
      <pivotArea dataOnly="0" labelOnly="1" outline="0" axis="axisValues" fieldPosition="0"/>
    </format>
    <format dxfId="50">
      <pivotArea outline="0" fieldPosition="0">
        <references count="1">
          <reference field="4294967294" count="1">
            <x v="0"/>
          </reference>
        </references>
      </pivotArea>
    </format>
    <format dxfId="49">
      <pivotArea type="all" dataOnly="0" outline="0" fieldPosition="0"/>
    </format>
    <format dxfId="48">
      <pivotArea outline="0" collapsedLevelsAreSubtotals="1" fieldPosition="0"/>
    </format>
    <format dxfId="47">
      <pivotArea field="5" type="button" dataOnly="0" labelOnly="1" outline="0" axis="axisRow" fieldPosition="0"/>
    </format>
    <format dxfId="46">
      <pivotArea dataOnly="0" labelOnly="1" outline="0" axis="axisValues" fieldPosition="0"/>
    </format>
    <format dxfId="45">
      <pivotArea dataOnly="0" labelOnly="1" outline="0" fieldPosition="0">
        <references count="1">
          <reference field="5" count="0"/>
        </references>
      </pivotArea>
    </format>
    <format dxfId="44">
      <pivotArea dataOnly="0" labelOnly="1" outline="0" axis="axisValues" fieldPosition="0"/>
    </format>
    <format dxfId="43">
      <pivotArea type="all" dataOnly="0" outline="0" fieldPosition="0"/>
    </format>
    <format dxfId="42">
      <pivotArea outline="0" collapsedLevelsAreSubtotals="1" fieldPosition="0"/>
    </format>
    <format dxfId="41">
      <pivotArea field="5" type="button" dataOnly="0" labelOnly="1" outline="0" axis="axisRow" fieldPosition="0"/>
    </format>
    <format dxfId="40">
      <pivotArea dataOnly="0" labelOnly="1" outline="0" axis="axisValues" fieldPosition="0"/>
    </format>
    <format dxfId="39">
      <pivotArea dataOnly="0" labelOnly="1" outline="0" fieldPosition="0">
        <references count="1">
          <reference field="5" count="0"/>
        </references>
      </pivotArea>
    </format>
    <format dxfId="38">
      <pivotArea dataOnly="0" labelOnly="1" outline="0" axis="axisValues" fieldPosition="0"/>
    </format>
  </formats>
  <chartFormats count="1">
    <chartFormat chart="0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</pivotTableDefinition>
</file>

<file path=xl/pivotTables/pivotTable2.xml><?xml version="1.0" encoding="utf-8"?>
<pivotTableDefinition xmlns="http://schemas.openxmlformats.org/spreadsheetml/2006/main" name="Payment" cacheId="27" applyNumberFormats="0" applyBorderFormats="0" applyFontFormats="0" applyPatternFormats="0" applyAlignmentFormats="0" applyWidthHeightFormats="1" dataCaption="Values" updatedVersion="6" minRefreshableVersion="3" useAutoFormatting="1" itemPrintTitles="1" createdVersion="4" indent="0" outline="1" outlineData="1" multipleFieldFilters="0" chartFormat="5">
  <location ref="A3:B8" firstHeaderRow="1" firstDataRow="1" firstDataCol="1"/>
  <pivotFields count="13">
    <pivotField showAll="0"/>
    <pivotField showAll="0"/>
    <pivotField showAll="0">
      <items count="7">
        <item x="1"/>
        <item x="3"/>
        <item x="5"/>
        <item x="2"/>
        <item x="4"/>
        <item x="0"/>
        <item t="default"/>
      </items>
    </pivotField>
    <pivotField showAll="0"/>
    <pivotField showAll="0"/>
    <pivotField showAll="0">
      <items count="6">
        <item x="2"/>
        <item x="1"/>
        <item x="0"/>
        <item x="3"/>
        <item x="4"/>
        <item t="default"/>
      </items>
    </pivotField>
    <pivotField showAll="0"/>
    <pivotField dataField="1" showAll="0"/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axis="axisRow" showAll="0">
      <items count="5">
        <item x="3"/>
        <item x="2"/>
        <item x="0"/>
        <item x="1"/>
        <item t="default"/>
      </items>
    </pivotField>
    <pivotField showAll="0"/>
    <pivotField showAll="0" defaultSubtotal="0"/>
    <pivotField showAll="0" defaultSubtota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</items>
    </pivotField>
  </pivotFields>
  <rowFields count="1">
    <field x="9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Total Methods" fld="7" baseField="9" baseItem="0" numFmtId="164"/>
  </dataFields>
  <formats count="15">
    <format dxfId="0">
      <pivotArea dataOnly="0" labelOnly="1" outline="0" axis="axisValues" fieldPosition="0"/>
    </format>
    <format dxfId="1">
      <pivotArea type="all" dataOnly="0" outline="0" fieldPosition="0"/>
    </format>
    <format dxfId="2">
      <pivotArea outline="0" collapsedLevelsAreSubtotals="1" fieldPosition="0"/>
    </format>
    <format dxfId="3">
      <pivotArea field="9" type="button" dataOnly="0" labelOnly="1" outline="0" axis="axisRow" fieldPosition="0"/>
    </format>
    <format dxfId="4">
      <pivotArea dataOnly="0" labelOnly="1" outline="0" axis="axisValues" fieldPosition="0"/>
    </format>
    <format dxfId="5">
      <pivotArea dataOnly="0" labelOnly="1" fieldPosition="0">
        <references count="1">
          <reference field="9" count="0"/>
        </references>
      </pivotArea>
    </format>
    <format dxfId="6">
      <pivotArea dataOnly="0" labelOnly="1" grandRow="1" outline="0" fieldPosition="0"/>
    </format>
    <format dxfId="7">
      <pivotArea dataOnly="0" labelOnly="1" outline="0" axis="axisValues" fieldPosition="0"/>
    </format>
    <format dxfId="8">
      <pivotArea type="all" dataOnly="0" outline="0" fieldPosition="0"/>
    </format>
    <format dxfId="9">
      <pivotArea outline="0" collapsedLevelsAreSubtotals="1" fieldPosition="0"/>
    </format>
    <format dxfId="10">
      <pivotArea field="9" type="button" dataOnly="0" labelOnly="1" outline="0" axis="axisRow" fieldPosition="0"/>
    </format>
    <format dxfId="11">
      <pivotArea dataOnly="0" labelOnly="1" outline="0" axis="axisValues" fieldPosition="0"/>
    </format>
    <format dxfId="12">
      <pivotArea dataOnly="0" labelOnly="1" fieldPosition="0">
        <references count="1">
          <reference field="9" count="0"/>
        </references>
      </pivotArea>
    </format>
    <format dxfId="13">
      <pivotArea dataOnly="0" labelOnly="1" grandRow="1" outline="0" fieldPosition="0"/>
    </format>
    <format dxfId="14">
      <pivotArea dataOnly="0" labelOnly="1" outline="0" axis="axisValues" fieldPosition="0"/>
    </format>
  </formats>
  <chartFormats count="1">
    <chartFormat chart="4" format="11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3.xml><?xml version="1.0" encoding="utf-8"?>
<pivotTableDefinition xmlns="http://schemas.openxmlformats.org/spreadsheetml/2006/main" name="orders" cacheId="27" applyNumberFormats="0" applyBorderFormats="0" applyFontFormats="0" applyPatternFormats="0" applyAlignmentFormats="0" applyWidthHeightFormats="1" dataCaption="Values" updatedVersion="6" minRefreshableVersion="3" useAutoFormatting="1" itemPrintTitles="1" createdVersion="4" indent="0" outline="1" outlineData="1" multipleFieldFilters="0" chartFormat="1">
  <location ref="A3:B9" firstHeaderRow="1" firstDataRow="1" firstDataCol="1"/>
  <pivotFields count="13">
    <pivotField dataField="1" showAll="0"/>
    <pivotField showAll="0"/>
    <pivotField showAll="0">
      <items count="7">
        <item x="1"/>
        <item x="3"/>
        <item x="5"/>
        <item x="2"/>
        <item x="4"/>
        <item x="0"/>
        <item t="default"/>
      </items>
    </pivotField>
    <pivotField showAll="0"/>
    <pivotField showAll="0"/>
    <pivotField showAll="0">
      <items count="6">
        <item x="2"/>
        <item x="1"/>
        <item x="0"/>
        <item x="3"/>
        <item x="4"/>
        <item t="default"/>
      </items>
    </pivotField>
    <pivotField showAll="0"/>
    <pivotField showAll="0"/>
    <pivotField axis="axisRow"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/>
    <pivotField showAll="0"/>
    <pivotField showAll="0" defaultSubtotal="0"/>
    <pivotField axis="axisRow" showAll="0" defaultSubtotal="0">
      <items count="14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</items>
    </pivotField>
  </pivotFields>
  <rowFields count="2">
    <field x="12"/>
    <field x="8"/>
  </rowFields>
  <rowItems count="6"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Total Sales" fld="0" baseField="12" baseItem="1" numFmtId="164"/>
  </dataFields>
  <formats count="7">
    <format dxfId="37">
      <pivotArea type="all" dataOnly="0" outline="0" fieldPosition="0"/>
    </format>
    <format dxfId="36">
      <pivotArea outline="0" collapsedLevelsAreSubtotals="1" fieldPosition="0"/>
    </format>
    <format dxfId="35">
      <pivotArea field="12" type="button" dataOnly="0" labelOnly="1" outline="0" axis="axisRow" fieldPosition="0"/>
    </format>
    <format dxfId="34">
      <pivotArea dataOnly="0" labelOnly="1" outline="0" axis="axisValues" fieldPosition="0"/>
    </format>
    <format dxfId="33">
      <pivotArea dataOnly="0" labelOnly="1" fieldPosition="0">
        <references count="1">
          <reference field="12" count="5">
            <x v="1"/>
            <x v="2"/>
            <x v="3"/>
            <x v="4"/>
            <x v="5"/>
          </reference>
        </references>
      </pivotArea>
    </format>
    <format dxfId="32">
      <pivotArea dataOnly="0" labelOnly="1" grandRow="1" outline="0" fieldPosition="0"/>
    </format>
    <format dxfId="31">
      <pivotArea dataOnly="0" labelOnly="1" outline="0" axis="axisValues" fieldPosition="0"/>
    </format>
  </formats>
  <chartFormats count="1">
    <chartFormat chart="0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4.xml><?xml version="1.0" encoding="utf-8"?>
<pivotTableDefinition xmlns="http://schemas.openxmlformats.org/spreadsheetml/2006/main" name="PivotTable6" cacheId="27" applyNumberFormats="0" applyBorderFormats="0" applyFontFormats="0" applyPatternFormats="0" applyAlignmentFormats="0" applyWidthHeightFormats="1" dataCaption="Values" updatedVersion="6" minRefreshableVersion="3" useAutoFormatting="1" itemPrintTitles="1" createdVersion="4" indent="0" outline="1" outlineData="1" multipleFieldFilters="0" chartFormat="1">
  <location ref="A3:B10" firstHeaderRow="1" firstDataRow="1" firstDataCol="1"/>
  <pivotFields count="13">
    <pivotField dataField="1" showAll="0"/>
    <pivotField showAll="0"/>
    <pivotField axis="axisRow" showAll="0">
      <items count="7">
        <item x="1"/>
        <item x="3"/>
        <item x="5"/>
        <item x="2"/>
        <item x="4"/>
        <item x="0"/>
        <item t="default"/>
      </items>
    </pivotField>
    <pivotField showAll="0"/>
    <pivotField showAll="0"/>
    <pivotField showAll="0"/>
    <pivotField showAll="0"/>
    <pivotField showAll="0"/>
    <pivotField numFmtId="14" showAll="0"/>
    <pivotField showAll="0"/>
    <pivotField showAll="0"/>
    <pivotField showAll="0"/>
    <pivotField showAll="0" defaultSubtotal="0"/>
  </pivotFields>
  <rowFields count="1">
    <field x="2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Percentage of Sales" fld="0" showDataAs="percentOfTotal" baseField="2" baseItem="0" numFmtId="10"/>
  </dataFields>
  <formats count="7">
    <format dxfId="30">
      <pivotArea type="all" dataOnly="0" outline="0" fieldPosition="0"/>
    </format>
    <format dxfId="29">
      <pivotArea outline="0" collapsedLevelsAreSubtotals="1" fieldPosition="0"/>
    </format>
    <format dxfId="28">
      <pivotArea field="2" type="button" dataOnly="0" labelOnly="1" outline="0" axis="axisRow" fieldPosition="0"/>
    </format>
    <format dxfId="27">
      <pivotArea dataOnly="0" labelOnly="1" outline="0" axis="axisValues" fieldPosition="0"/>
    </format>
    <format dxfId="26">
      <pivotArea dataOnly="0" labelOnly="1" fieldPosition="0">
        <references count="1">
          <reference field="2" count="0"/>
        </references>
      </pivotArea>
    </format>
    <format dxfId="25">
      <pivotArea dataOnly="0" labelOnly="1" grandRow="1" outline="0" fieldPosition="0"/>
    </format>
    <format dxfId="24">
      <pivotArea dataOnly="0" labelOnly="1" outline="0" axis="axisValues" fieldPosition="0"/>
    </format>
  </formats>
  <chartFormats count="1">
    <chartFormat chart="0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ables/table1.xml><?xml version="1.0" encoding="utf-8"?>
<table xmlns="http://schemas.openxmlformats.org/spreadsheetml/2006/main" id="4" name="Table15" displayName="Table15" ref="A1:D2" totalsRowShown="0" headerRowDxfId="23" dataDxfId="22" tableBorderDxfId="21">
  <autoFilter ref="A1:D2"/>
  <tableColumns count="4">
    <tableColumn id="1" name="The highest sales of country" dataDxfId="20"/>
    <tableColumn id="2" name="The highest sales of country2" dataDxfId="19"/>
    <tableColumn id="3" name="The highest method of payment" dataDxfId="18"/>
    <tableColumn id="4" name="The highest color sold" dataDxfId="17"/>
  </tableColumns>
  <tableStyleInfo name="TableStyleMedium15" showFirstColumn="0" showLastColumn="0" showRowStripes="1" showColumnStripes="0"/>
</table>
</file>

<file path=xl/tables/table2.xml><?xml version="1.0" encoding="utf-8"?>
<table xmlns="http://schemas.openxmlformats.org/spreadsheetml/2006/main" id="2" name="Table2" displayName="Table2" ref="A1:K101" totalsRowShown="0">
  <autoFilter ref="A1:K101"/>
  <tableColumns count="11">
    <tableColumn id="1" name="Order_ID"/>
    <tableColumn id="2" name="Customer_Name"/>
    <tableColumn id="3" name="Country"/>
    <tableColumn id="4" name="iPhone_Model"/>
    <tableColumn id="5" name="Storage"/>
    <tableColumn id="6" name="Color"/>
    <tableColumn id="7" name="Quantity"/>
    <tableColumn id="8" name="Price"/>
    <tableColumn id="9" name="Sale_Date" dataDxfId="16"/>
    <tableColumn id="10" name="Payment_Method"/>
    <tableColumn id="11" name="Total_Sales" dataDxfId="15">
      <calculatedColumnFormula>IMPRODUCT(Table2[[#This Row],[Quantity]],Table2[[#This Row],[Price]])</calculatedColumnFormula>
    </tableColumn>
  </tableColumns>
  <tableStyleInfo name="TableStyleMedium15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3.xml"/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B8"/>
  <sheetViews>
    <sheetView workbookViewId="0">
      <selection activeCell="B18" sqref="B18"/>
    </sheetView>
  </sheetViews>
  <sheetFormatPr defaultRowHeight="14.4" x14ac:dyDescent="0.3"/>
  <cols>
    <col min="1" max="1" width="28.21875" bestFit="1" customWidth="1"/>
    <col min="2" max="2" width="14.77734375" bestFit="1" customWidth="1"/>
  </cols>
  <sheetData>
    <row r="2" spans="1:2" ht="22.8" x14ac:dyDescent="0.4">
      <c r="A2" s="6" t="s">
        <v>152</v>
      </c>
    </row>
    <row r="3" spans="1:2" ht="21" x14ac:dyDescent="0.4">
      <c r="A3" s="13" t="s">
        <v>5</v>
      </c>
      <c r="B3" s="16" t="s">
        <v>141</v>
      </c>
    </row>
    <row r="4" spans="1:2" ht="21" x14ac:dyDescent="0.4">
      <c r="A4" s="12" t="s">
        <v>24</v>
      </c>
      <c r="B4" s="16">
        <v>0.15</v>
      </c>
    </row>
    <row r="5" spans="1:2" ht="21" x14ac:dyDescent="0.4">
      <c r="A5" s="12" t="s">
        <v>19</v>
      </c>
      <c r="B5" s="16">
        <v>0.25</v>
      </c>
    </row>
    <row r="6" spans="1:2" ht="21" x14ac:dyDescent="0.4">
      <c r="A6" s="12" t="s">
        <v>14</v>
      </c>
      <c r="B6" s="16">
        <v>0.19</v>
      </c>
    </row>
    <row r="7" spans="1:2" ht="21" x14ac:dyDescent="0.4">
      <c r="A7" s="12" t="s">
        <v>33</v>
      </c>
      <c r="B7" s="16">
        <v>0.19</v>
      </c>
    </row>
    <row r="8" spans="1:2" ht="21" x14ac:dyDescent="0.4">
      <c r="A8" s="12" t="s">
        <v>42</v>
      </c>
      <c r="B8" s="16">
        <v>0.22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B8"/>
  <sheetViews>
    <sheetView zoomScale="75" workbookViewId="0">
      <selection activeCell="A5" sqref="A5"/>
    </sheetView>
  </sheetViews>
  <sheetFormatPr defaultRowHeight="14.4" x14ac:dyDescent="0.3"/>
  <cols>
    <col min="1" max="1" width="36.88671875" bestFit="1" customWidth="1"/>
    <col min="2" max="2" width="19.6640625" bestFit="1" customWidth="1"/>
  </cols>
  <sheetData>
    <row r="2" spans="1:2" ht="22.8" x14ac:dyDescent="0.4">
      <c r="A2" s="8" t="s">
        <v>153</v>
      </c>
    </row>
    <row r="3" spans="1:2" ht="21" x14ac:dyDescent="0.4">
      <c r="A3" s="13" t="s">
        <v>135</v>
      </c>
      <c r="B3" s="14" t="s">
        <v>142</v>
      </c>
    </row>
    <row r="4" spans="1:2" ht="21" x14ac:dyDescent="0.4">
      <c r="A4" s="15" t="s">
        <v>45</v>
      </c>
      <c r="B4" s="14">
        <v>26716</v>
      </c>
    </row>
    <row r="5" spans="1:2" ht="21" x14ac:dyDescent="0.4">
      <c r="A5" s="15" t="s">
        <v>25</v>
      </c>
      <c r="B5" s="14">
        <v>37832</v>
      </c>
    </row>
    <row r="6" spans="1:2" ht="21" x14ac:dyDescent="0.4">
      <c r="A6" s="15" t="s">
        <v>15</v>
      </c>
      <c r="B6" s="14">
        <v>55425</v>
      </c>
    </row>
    <row r="7" spans="1:2" ht="21" x14ac:dyDescent="0.4">
      <c r="A7" s="15" t="s">
        <v>20</v>
      </c>
      <c r="B7" s="14">
        <v>26902</v>
      </c>
    </row>
    <row r="8" spans="1:2" ht="21" x14ac:dyDescent="0.4">
      <c r="A8" s="15" t="s">
        <v>134</v>
      </c>
      <c r="B8" s="14">
        <v>146875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B9"/>
  <sheetViews>
    <sheetView workbookViewId="0">
      <selection activeCell="B6" sqref="B6"/>
    </sheetView>
  </sheetViews>
  <sheetFormatPr defaultRowHeight="14.4" x14ac:dyDescent="0.3"/>
  <cols>
    <col min="1" max="1" width="22" bestFit="1" customWidth="1"/>
    <col min="2" max="2" width="14.77734375" bestFit="1" customWidth="1"/>
    <col min="3" max="3" width="15.109375" bestFit="1" customWidth="1"/>
  </cols>
  <sheetData>
    <row r="2" spans="1:2" ht="21" x14ac:dyDescent="0.4">
      <c r="A2" s="12" t="s">
        <v>154</v>
      </c>
    </row>
    <row r="3" spans="1:2" ht="21" x14ac:dyDescent="0.4">
      <c r="A3" s="9" t="s">
        <v>135</v>
      </c>
      <c r="B3" s="7" t="s">
        <v>141</v>
      </c>
    </row>
    <row r="4" spans="1:2" ht="21" x14ac:dyDescent="0.4">
      <c r="A4" s="11" t="s">
        <v>136</v>
      </c>
      <c r="B4" s="10">
        <v>33674</v>
      </c>
    </row>
    <row r="5" spans="1:2" ht="21" x14ac:dyDescent="0.4">
      <c r="A5" s="11" t="s">
        <v>137</v>
      </c>
      <c r="B5" s="10">
        <v>19025</v>
      </c>
    </row>
    <row r="6" spans="1:2" ht="21" x14ac:dyDescent="0.4">
      <c r="A6" s="11" t="s">
        <v>138</v>
      </c>
      <c r="B6" s="10">
        <v>29279</v>
      </c>
    </row>
    <row r="7" spans="1:2" ht="21" x14ac:dyDescent="0.4">
      <c r="A7" s="11" t="s">
        <v>139</v>
      </c>
      <c r="B7" s="10">
        <v>19974</v>
      </c>
    </row>
    <row r="8" spans="1:2" ht="21" x14ac:dyDescent="0.4">
      <c r="A8" s="11" t="s">
        <v>140</v>
      </c>
      <c r="B8" s="10">
        <v>3098</v>
      </c>
    </row>
    <row r="9" spans="1:2" ht="21" x14ac:dyDescent="0.4">
      <c r="A9" s="11" t="s">
        <v>134</v>
      </c>
      <c r="B9" s="10">
        <v>105050</v>
      </c>
    </row>
  </sheetData>
  <pageMargins left="0.7" right="0.7" top="0.75" bottom="0.75" header="0.3" footer="0.3"/>
  <pageSetup orientation="portrait" verticalDpi="0" r:id="rId2"/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B10"/>
  <sheetViews>
    <sheetView tabSelected="1" workbookViewId="0">
      <selection activeCell="B17" sqref="B17"/>
    </sheetView>
  </sheetViews>
  <sheetFormatPr defaultRowHeight="14.4" x14ac:dyDescent="0.3"/>
  <cols>
    <col min="1" max="1" width="28.6640625" bestFit="1" customWidth="1"/>
    <col min="2" max="2" width="26.109375" bestFit="1" customWidth="1"/>
    <col min="3" max="3" width="14.88671875" bestFit="1" customWidth="1"/>
  </cols>
  <sheetData>
    <row r="2" spans="1:2" ht="22.8" x14ac:dyDescent="0.4">
      <c r="A2" s="6" t="s">
        <v>155</v>
      </c>
    </row>
    <row r="3" spans="1:2" ht="21" x14ac:dyDescent="0.4">
      <c r="A3" s="9" t="s">
        <v>135</v>
      </c>
      <c r="B3" s="7" t="s">
        <v>156</v>
      </c>
    </row>
    <row r="4" spans="1:2" ht="21" x14ac:dyDescent="0.4">
      <c r="A4" s="11" t="s">
        <v>17</v>
      </c>
      <c r="B4" s="17">
        <v>0.17928605425987626</v>
      </c>
    </row>
    <row r="5" spans="1:2" ht="21" x14ac:dyDescent="0.4">
      <c r="A5" s="11" t="s">
        <v>35</v>
      </c>
      <c r="B5" s="17">
        <v>0.11070918610185626</v>
      </c>
    </row>
    <row r="6" spans="1:2" ht="21" x14ac:dyDescent="0.4">
      <c r="A6" s="11" t="s">
        <v>40</v>
      </c>
      <c r="B6" s="17">
        <v>9.9980961446930028E-2</v>
      </c>
    </row>
    <row r="7" spans="1:2" ht="21" x14ac:dyDescent="0.4">
      <c r="A7" s="11" t="s">
        <v>31</v>
      </c>
      <c r="B7" s="17">
        <v>0.16898619704902426</v>
      </c>
    </row>
    <row r="8" spans="1:2" ht="21" x14ac:dyDescent="0.4">
      <c r="A8" s="11" t="s">
        <v>37</v>
      </c>
      <c r="B8" s="17">
        <v>0.22202760590195145</v>
      </c>
    </row>
    <row r="9" spans="1:2" ht="21" x14ac:dyDescent="0.4">
      <c r="A9" s="11" t="s">
        <v>11</v>
      </c>
      <c r="B9" s="17">
        <v>0.21900999524036174</v>
      </c>
    </row>
    <row r="10" spans="1:2" ht="21" x14ac:dyDescent="0.4">
      <c r="A10" s="11" t="s">
        <v>134</v>
      </c>
      <c r="B10" s="17">
        <v>1</v>
      </c>
    </row>
  </sheetData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"/>
  <sheetViews>
    <sheetView workbookViewId="0">
      <selection activeCell="A2" sqref="A2"/>
    </sheetView>
  </sheetViews>
  <sheetFormatPr defaultRowHeight="14.4" x14ac:dyDescent="0.3"/>
  <cols>
    <col min="1" max="1" width="44.88671875" bestFit="1" customWidth="1"/>
    <col min="2" max="2" width="46.5546875" bestFit="1" customWidth="1"/>
    <col min="3" max="3" width="49.44140625" bestFit="1" customWidth="1"/>
    <col min="4" max="4" width="35.77734375" bestFit="1" customWidth="1"/>
  </cols>
  <sheetData>
    <row r="1" spans="1:4" ht="24.6" x14ac:dyDescent="0.4">
      <c r="A1" s="3" t="s">
        <v>144</v>
      </c>
      <c r="B1" s="3" t="s">
        <v>151</v>
      </c>
      <c r="C1" s="3" t="s">
        <v>146</v>
      </c>
      <c r="D1" s="3" t="s">
        <v>145</v>
      </c>
    </row>
    <row r="2" spans="1:4" ht="24.6" x14ac:dyDescent="0.4">
      <c r="A2" s="4" t="s">
        <v>147</v>
      </c>
      <c r="B2" s="4" t="s">
        <v>148</v>
      </c>
      <c r="C2" s="4" t="s">
        <v>149</v>
      </c>
      <c r="D2" s="5" t="s">
        <v>150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01"/>
  <sheetViews>
    <sheetView topLeftCell="A73" workbookViewId="0">
      <selection activeCell="I111" sqref="I111"/>
    </sheetView>
  </sheetViews>
  <sheetFormatPr defaultRowHeight="14.4" x14ac:dyDescent="0.3"/>
  <cols>
    <col min="1" max="1" width="10.33203125" customWidth="1"/>
    <col min="2" max="2" width="16.6640625" customWidth="1"/>
    <col min="3" max="3" width="9.33203125" customWidth="1"/>
    <col min="4" max="4" width="14.6640625" customWidth="1"/>
    <col min="5" max="5" width="9.109375" customWidth="1"/>
    <col min="7" max="7" width="9.88671875" customWidth="1"/>
    <col min="9" max="9" width="11.109375" customWidth="1"/>
    <col min="10" max="10" width="17.44140625" customWidth="1"/>
    <col min="11" max="11" width="12.6640625" bestFit="1" customWidth="1"/>
  </cols>
  <sheetData>
    <row r="1" spans="1:1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143</v>
      </c>
    </row>
    <row r="2" spans="1:11" x14ac:dyDescent="0.3">
      <c r="A2">
        <v>1001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>
        <v>5</v>
      </c>
      <c r="H2">
        <v>1817</v>
      </c>
      <c r="I2" s="1">
        <v>45778</v>
      </c>
      <c r="J2" t="s">
        <v>15</v>
      </c>
      <c r="K2" s="2" t="str">
        <f>IMPRODUCT(Table2[[#This Row],[Quantity]],Table2[[#This Row],[Price]])</f>
        <v>9085</v>
      </c>
    </row>
    <row r="3" spans="1:11" x14ac:dyDescent="0.3">
      <c r="A3">
        <v>1002</v>
      </c>
      <c r="B3" t="s">
        <v>16</v>
      </c>
      <c r="C3" t="s">
        <v>17</v>
      </c>
      <c r="D3" t="s">
        <v>18</v>
      </c>
      <c r="E3" t="s">
        <v>13</v>
      </c>
      <c r="F3" t="s">
        <v>19</v>
      </c>
      <c r="G3">
        <v>1</v>
      </c>
      <c r="H3">
        <v>998</v>
      </c>
      <c r="I3" s="1">
        <v>45721</v>
      </c>
      <c r="J3" t="s">
        <v>20</v>
      </c>
      <c r="K3" t="str">
        <f>IMPRODUCT(Table2[[#This Row],[Quantity]],Table2[[#This Row],[Price]])</f>
        <v>998</v>
      </c>
    </row>
    <row r="4" spans="1:11" x14ac:dyDescent="0.3">
      <c r="A4">
        <v>1003</v>
      </c>
      <c r="B4" t="s">
        <v>21</v>
      </c>
      <c r="C4" t="s">
        <v>17</v>
      </c>
      <c r="D4" t="s">
        <v>22</v>
      </c>
      <c r="E4" t="s">
        <v>23</v>
      </c>
      <c r="F4" t="s">
        <v>24</v>
      </c>
      <c r="G4">
        <v>5</v>
      </c>
      <c r="H4">
        <v>876</v>
      </c>
      <c r="I4" s="1">
        <v>45682</v>
      </c>
      <c r="J4" t="s">
        <v>25</v>
      </c>
      <c r="K4" t="str">
        <f>IMPRODUCT(Table2[[#This Row],[Quantity]],Table2[[#This Row],[Price]])</f>
        <v>4380</v>
      </c>
    </row>
    <row r="5" spans="1:11" x14ac:dyDescent="0.3">
      <c r="A5">
        <v>1004</v>
      </c>
      <c r="B5" t="s">
        <v>26</v>
      </c>
      <c r="C5" t="s">
        <v>11</v>
      </c>
      <c r="D5" t="s">
        <v>22</v>
      </c>
      <c r="E5" t="s">
        <v>23</v>
      </c>
      <c r="F5" t="s">
        <v>24</v>
      </c>
      <c r="G5">
        <v>2</v>
      </c>
      <c r="H5">
        <v>1290</v>
      </c>
      <c r="I5" s="1">
        <v>45740</v>
      </c>
      <c r="J5" t="s">
        <v>15</v>
      </c>
      <c r="K5" t="str">
        <f>IMPRODUCT(Table2[[#This Row],[Quantity]],Table2[[#This Row],[Price]])</f>
        <v>2580</v>
      </c>
    </row>
    <row r="6" spans="1:11" x14ac:dyDescent="0.3">
      <c r="A6">
        <v>1005</v>
      </c>
      <c r="B6" t="s">
        <v>27</v>
      </c>
      <c r="C6" t="s">
        <v>11</v>
      </c>
      <c r="D6" t="s">
        <v>28</v>
      </c>
      <c r="E6" t="s">
        <v>29</v>
      </c>
      <c r="F6" t="s">
        <v>19</v>
      </c>
      <c r="G6">
        <v>3</v>
      </c>
      <c r="H6">
        <v>1092</v>
      </c>
      <c r="I6" s="1">
        <v>45689</v>
      </c>
      <c r="J6" t="s">
        <v>15</v>
      </c>
      <c r="K6" t="str">
        <f>IMPRODUCT(Table2[[#This Row],[Quantity]],Table2[[#This Row],[Price]])</f>
        <v>3276</v>
      </c>
    </row>
    <row r="7" spans="1:11" x14ac:dyDescent="0.3">
      <c r="A7">
        <v>1006</v>
      </c>
      <c r="B7" t="s">
        <v>30</v>
      </c>
      <c r="C7" t="s">
        <v>31</v>
      </c>
      <c r="D7" t="s">
        <v>32</v>
      </c>
      <c r="E7" t="s">
        <v>13</v>
      </c>
      <c r="F7" t="s">
        <v>33</v>
      </c>
      <c r="G7">
        <v>5</v>
      </c>
      <c r="H7">
        <v>1939</v>
      </c>
      <c r="I7" s="1">
        <v>45703</v>
      </c>
      <c r="J7" t="s">
        <v>15</v>
      </c>
      <c r="K7" t="str">
        <f>IMPRODUCT(Table2[[#This Row],[Quantity]],Table2[[#This Row],[Price]])</f>
        <v>9695</v>
      </c>
    </row>
    <row r="8" spans="1:11" x14ac:dyDescent="0.3">
      <c r="A8">
        <v>1007</v>
      </c>
      <c r="B8" t="s">
        <v>34</v>
      </c>
      <c r="C8" t="s">
        <v>35</v>
      </c>
      <c r="D8" t="s">
        <v>32</v>
      </c>
      <c r="E8" t="s">
        <v>23</v>
      </c>
      <c r="F8" t="s">
        <v>19</v>
      </c>
      <c r="G8">
        <v>1</v>
      </c>
      <c r="H8">
        <v>1798</v>
      </c>
      <c r="I8" s="1">
        <v>45701</v>
      </c>
      <c r="J8" t="s">
        <v>15</v>
      </c>
      <c r="K8" t="str">
        <f>IMPRODUCT(Table2[[#This Row],[Quantity]],Table2[[#This Row],[Price]])</f>
        <v>1798</v>
      </c>
    </row>
    <row r="9" spans="1:11" x14ac:dyDescent="0.3">
      <c r="A9">
        <v>1008</v>
      </c>
      <c r="B9" t="s">
        <v>36</v>
      </c>
      <c r="C9" t="s">
        <v>37</v>
      </c>
      <c r="D9" t="s">
        <v>22</v>
      </c>
      <c r="E9" t="s">
        <v>29</v>
      </c>
      <c r="F9" t="s">
        <v>14</v>
      </c>
      <c r="G9">
        <v>3</v>
      </c>
      <c r="H9">
        <v>1808</v>
      </c>
      <c r="I9" s="1">
        <v>45746</v>
      </c>
      <c r="J9" t="s">
        <v>15</v>
      </c>
      <c r="K9" t="str">
        <f>IMPRODUCT(Table2[[#This Row],[Quantity]],Table2[[#This Row],[Price]])</f>
        <v>5424</v>
      </c>
    </row>
    <row r="10" spans="1:11" x14ac:dyDescent="0.3">
      <c r="A10">
        <v>1009</v>
      </c>
      <c r="B10" t="s">
        <v>38</v>
      </c>
      <c r="C10" t="s">
        <v>31</v>
      </c>
      <c r="D10" t="s">
        <v>18</v>
      </c>
      <c r="E10" t="s">
        <v>23</v>
      </c>
      <c r="F10" t="s">
        <v>14</v>
      </c>
      <c r="G10">
        <v>2</v>
      </c>
      <c r="H10">
        <v>1381</v>
      </c>
      <c r="I10" s="1">
        <v>45722</v>
      </c>
      <c r="J10" t="s">
        <v>15</v>
      </c>
      <c r="K10" t="str">
        <f>IMPRODUCT(Table2[[#This Row],[Quantity]],Table2[[#This Row],[Price]])</f>
        <v>2762</v>
      </c>
    </row>
    <row r="11" spans="1:11" x14ac:dyDescent="0.3">
      <c r="A11">
        <v>1010</v>
      </c>
      <c r="B11" t="s">
        <v>39</v>
      </c>
      <c r="C11" t="s">
        <v>40</v>
      </c>
      <c r="D11" t="s">
        <v>32</v>
      </c>
      <c r="E11" t="s">
        <v>29</v>
      </c>
      <c r="F11" t="s">
        <v>33</v>
      </c>
      <c r="G11">
        <v>5</v>
      </c>
      <c r="H11">
        <v>1670</v>
      </c>
      <c r="I11" s="1">
        <v>45713</v>
      </c>
      <c r="J11" t="s">
        <v>15</v>
      </c>
      <c r="K11" t="str">
        <f>IMPRODUCT(Table2[[#This Row],[Quantity]],Table2[[#This Row],[Price]])</f>
        <v>8350</v>
      </c>
    </row>
    <row r="12" spans="1:11" x14ac:dyDescent="0.3">
      <c r="A12">
        <v>1011</v>
      </c>
      <c r="B12" t="s">
        <v>41</v>
      </c>
      <c r="C12" t="s">
        <v>37</v>
      </c>
      <c r="D12" t="s">
        <v>22</v>
      </c>
      <c r="E12" t="s">
        <v>13</v>
      </c>
      <c r="F12" t="s">
        <v>42</v>
      </c>
      <c r="G12">
        <v>5</v>
      </c>
      <c r="H12">
        <v>1857</v>
      </c>
      <c r="I12" s="1">
        <v>45685</v>
      </c>
      <c r="J12" t="s">
        <v>20</v>
      </c>
      <c r="K12" t="str">
        <f>IMPRODUCT(Table2[[#This Row],[Quantity]],Table2[[#This Row],[Price]])</f>
        <v>9285</v>
      </c>
    </row>
    <row r="13" spans="1:11" x14ac:dyDescent="0.3">
      <c r="A13">
        <v>1012</v>
      </c>
      <c r="B13" t="s">
        <v>43</v>
      </c>
      <c r="C13" t="s">
        <v>11</v>
      </c>
      <c r="D13" t="s">
        <v>44</v>
      </c>
      <c r="E13" t="s">
        <v>29</v>
      </c>
      <c r="F13" t="s">
        <v>24</v>
      </c>
      <c r="G13">
        <v>3</v>
      </c>
      <c r="H13">
        <v>1572</v>
      </c>
      <c r="I13" s="1">
        <v>45741</v>
      </c>
      <c r="J13" t="s">
        <v>45</v>
      </c>
      <c r="K13" t="str">
        <f>IMPRODUCT(Table2[[#This Row],[Quantity]],Table2[[#This Row],[Price]])</f>
        <v>4716</v>
      </c>
    </row>
    <row r="14" spans="1:11" x14ac:dyDescent="0.3">
      <c r="A14">
        <v>1013</v>
      </c>
      <c r="B14" t="s">
        <v>46</v>
      </c>
      <c r="C14" t="s">
        <v>35</v>
      </c>
      <c r="D14" t="s">
        <v>18</v>
      </c>
      <c r="E14" t="s">
        <v>23</v>
      </c>
      <c r="F14" t="s">
        <v>19</v>
      </c>
      <c r="G14">
        <v>3</v>
      </c>
      <c r="H14">
        <v>1868</v>
      </c>
      <c r="I14" s="1">
        <v>45706</v>
      </c>
      <c r="J14" t="s">
        <v>20</v>
      </c>
      <c r="K14" t="str">
        <f>IMPRODUCT(Table2[[#This Row],[Quantity]],Table2[[#This Row],[Price]])</f>
        <v>5604</v>
      </c>
    </row>
    <row r="15" spans="1:11" x14ac:dyDescent="0.3">
      <c r="A15">
        <v>1014</v>
      </c>
      <c r="B15" t="s">
        <v>47</v>
      </c>
      <c r="C15" t="s">
        <v>11</v>
      </c>
      <c r="D15" t="s">
        <v>18</v>
      </c>
      <c r="E15" t="s">
        <v>23</v>
      </c>
      <c r="F15" t="s">
        <v>24</v>
      </c>
      <c r="G15">
        <v>3</v>
      </c>
      <c r="H15">
        <v>1743</v>
      </c>
      <c r="I15" s="1">
        <v>45674</v>
      </c>
      <c r="J15" t="s">
        <v>25</v>
      </c>
      <c r="K15" t="str">
        <f>IMPRODUCT(Table2[[#This Row],[Quantity]],Table2[[#This Row],[Price]])</f>
        <v>5229</v>
      </c>
    </row>
    <row r="16" spans="1:11" x14ac:dyDescent="0.3">
      <c r="A16">
        <v>1015</v>
      </c>
      <c r="B16" t="s">
        <v>48</v>
      </c>
      <c r="C16" t="s">
        <v>31</v>
      </c>
      <c r="D16" t="s">
        <v>32</v>
      </c>
      <c r="E16" t="s">
        <v>13</v>
      </c>
      <c r="F16" t="s">
        <v>19</v>
      </c>
      <c r="G16">
        <v>1</v>
      </c>
      <c r="H16">
        <v>1544</v>
      </c>
      <c r="I16" s="1">
        <v>45684</v>
      </c>
      <c r="J16" t="s">
        <v>25</v>
      </c>
      <c r="K16" t="str">
        <f>IMPRODUCT(Table2[[#This Row],[Quantity]],Table2[[#This Row],[Price]])</f>
        <v>1544</v>
      </c>
    </row>
    <row r="17" spans="1:11" x14ac:dyDescent="0.3">
      <c r="A17">
        <v>1016</v>
      </c>
      <c r="B17" t="s">
        <v>49</v>
      </c>
      <c r="C17" t="s">
        <v>31</v>
      </c>
      <c r="D17" t="s">
        <v>18</v>
      </c>
      <c r="E17" t="s">
        <v>29</v>
      </c>
      <c r="F17" t="s">
        <v>19</v>
      </c>
      <c r="G17">
        <v>4</v>
      </c>
      <c r="H17">
        <v>1819</v>
      </c>
      <c r="I17" s="1">
        <v>45751</v>
      </c>
      <c r="J17" t="s">
        <v>15</v>
      </c>
      <c r="K17" t="str">
        <f>IMPRODUCT(Table2[[#This Row],[Quantity]],Table2[[#This Row],[Price]])</f>
        <v>7276</v>
      </c>
    </row>
    <row r="18" spans="1:11" x14ac:dyDescent="0.3">
      <c r="A18">
        <v>1017</v>
      </c>
      <c r="B18" t="s">
        <v>50</v>
      </c>
      <c r="C18" t="s">
        <v>35</v>
      </c>
      <c r="D18" t="s">
        <v>12</v>
      </c>
      <c r="E18" t="s">
        <v>23</v>
      </c>
      <c r="F18" t="s">
        <v>33</v>
      </c>
      <c r="G18">
        <v>5</v>
      </c>
      <c r="H18">
        <v>1992</v>
      </c>
      <c r="I18" s="1">
        <v>45775</v>
      </c>
      <c r="J18" t="s">
        <v>20</v>
      </c>
      <c r="K18" t="str">
        <f>IMPRODUCT(Table2[[#This Row],[Quantity]],Table2[[#This Row],[Price]])</f>
        <v>9960</v>
      </c>
    </row>
    <row r="19" spans="1:11" x14ac:dyDescent="0.3">
      <c r="A19">
        <v>1018</v>
      </c>
      <c r="B19" t="s">
        <v>51</v>
      </c>
      <c r="C19" t="s">
        <v>17</v>
      </c>
      <c r="D19" t="s">
        <v>32</v>
      </c>
      <c r="E19" t="s">
        <v>13</v>
      </c>
      <c r="F19" t="s">
        <v>33</v>
      </c>
      <c r="G19">
        <v>2</v>
      </c>
      <c r="H19">
        <v>1003</v>
      </c>
      <c r="I19" s="1">
        <v>45751</v>
      </c>
      <c r="J19" t="s">
        <v>20</v>
      </c>
      <c r="K19" t="str">
        <f>IMPRODUCT(Table2[[#This Row],[Quantity]],Table2[[#This Row],[Price]])</f>
        <v>2006</v>
      </c>
    </row>
    <row r="20" spans="1:11" x14ac:dyDescent="0.3">
      <c r="A20">
        <v>1019</v>
      </c>
      <c r="B20" t="s">
        <v>52</v>
      </c>
      <c r="C20" t="s">
        <v>31</v>
      </c>
      <c r="D20" t="s">
        <v>12</v>
      </c>
      <c r="E20" t="s">
        <v>29</v>
      </c>
      <c r="F20" t="s">
        <v>14</v>
      </c>
      <c r="G20">
        <v>1</v>
      </c>
      <c r="H20">
        <v>1010</v>
      </c>
      <c r="I20" s="1">
        <v>45731</v>
      </c>
      <c r="J20" t="s">
        <v>15</v>
      </c>
      <c r="K20" t="str">
        <f>IMPRODUCT(Table2[[#This Row],[Quantity]],Table2[[#This Row],[Price]])</f>
        <v>1010</v>
      </c>
    </row>
    <row r="21" spans="1:11" x14ac:dyDescent="0.3">
      <c r="A21">
        <v>1020</v>
      </c>
      <c r="B21" t="s">
        <v>53</v>
      </c>
      <c r="C21" t="s">
        <v>31</v>
      </c>
      <c r="D21" t="s">
        <v>28</v>
      </c>
      <c r="E21" t="s">
        <v>13</v>
      </c>
      <c r="F21" t="s">
        <v>14</v>
      </c>
      <c r="G21">
        <v>3</v>
      </c>
      <c r="H21">
        <v>1588</v>
      </c>
      <c r="I21" s="1">
        <v>45743</v>
      </c>
      <c r="J21" t="s">
        <v>15</v>
      </c>
      <c r="K21" t="str">
        <f>IMPRODUCT(Table2[[#This Row],[Quantity]],Table2[[#This Row],[Price]])</f>
        <v>4764</v>
      </c>
    </row>
    <row r="22" spans="1:11" x14ac:dyDescent="0.3">
      <c r="A22">
        <v>1021</v>
      </c>
      <c r="B22" t="s">
        <v>54</v>
      </c>
      <c r="C22" t="s">
        <v>40</v>
      </c>
      <c r="D22" t="s">
        <v>28</v>
      </c>
      <c r="E22" t="s">
        <v>13</v>
      </c>
      <c r="F22" t="s">
        <v>33</v>
      </c>
      <c r="G22">
        <v>3</v>
      </c>
      <c r="H22">
        <v>742</v>
      </c>
      <c r="I22" s="1">
        <v>45728</v>
      </c>
      <c r="J22" t="s">
        <v>45</v>
      </c>
      <c r="K22" t="str">
        <f>IMPRODUCT(Table2[[#This Row],[Quantity]],Table2[[#This Row],[Price]])</f>
        <v>2226</v>
      </c>
    </row>
    <row r="23" spans="1:11" x14ac:dyDescent="0.3">
      <c r="A23">
        <v>1022</v>
      </c>
      <c r="B23" t="s">
        <v>55</v>
      </c>
      <c r="C23" t="s">
        <v>40</v>
      </c>
      <c r="D23" t="s">
        <v>28</v>
      </c>
      <c r="E23" t="s">
        <v>29</v>
      </c>
      <c r="F23" t="s">
        <v>24</v>
      </c>
      <c r="G23">
        <v>4</v>
      </c>
      <c r="H23">
        <v>1627</v>
      </c>
      <c r="I23" s="1">
        <v>45738</v>
      </c>
      <c r="J23" t="s">
        <v>20</v>
      </c>
      <c r="K23" t="str">
        <f>IMPRODUCT(Table2[[#This Row],[Quantity]],Table2[[#This Row],[Price]])</f>
        <v>6508</v>
      </c>
    </row>
    <row r="24" spans="1:11" x14ac:dyDescent="0.3">
      <c r="A24">
        <v>1023</v>
      </c>
      <c r="B24" t="s">
        <v>56</v>
      </c>
      <c r="C24" t="s">
        <v>11</v>
      </c>
      <c r="D24" t="s">
        <v>28</v>
      </c>
      <c r="E24" t="s">
        <v>29</v>
      </c>
      <c r="F24" t="s">
        <v>33</v>
      </c>
      <c r="G24">
        <v>5</v>
      </c>
      <c r="H24">
        <v>1964</v>
      </c>
      <c r="I24" s="1">
        <v>45766</v>
      </c>
      <c r="J24" t="s">
        <v>45</v>
      </c>
      <c r="K24" t="str">
        <f>IMPRODUCT(Table2[[#This Row],[Quantity]],Table2[[#This Row],[Price]])</f>
        <v>9820</v>
      </c>
    </row>
    <row r="25" spans="1:11" x14ac:dyDescent="0.3">
      <c r="A25">
        <v>1024</v>
      </c>
      <c r="B25" t="s">
        <v>57</v>
      </c>
      <c r="C25" t="s">
        <v>37</v>
      </c>
      <c r="D25" t="s">
        <v>28</v>
      </c>
      <c r="E25" t="s">
        <v>13</v>
      </c>
      <c r="F25" t="s">
        <v>42</v>
      </c>
      <c r="G25">
        <v>4</v>
      </c>
      <c r="H25">
        <v>817</v>
      </c>
      <c r="I25" s="1">
        <v>45658</v>
      </c>
      <c r="J25" t="s">
        <v>45</v>
      </c>
      <c r="K25" t="str">
        <f>IMPRODUCT(Table2[[#This Row],[Quantity]],Table2[[#This Row],[Price]])</f>
        <v>3268</v>
      </c>
    </row>
    <row r="26" spans="1:11" x14ac:dyDescent="0.3">
      <c r="A26">
        <v>1025</v>
      </c>
      <c r="B26" t="s">
        <v>58</v>
      </c>
      <c r="C26" t="s">
        <v>37</v>
      </c>
      <c r="D26" t="s">
        <v>22</v>
      </c>
      <c r="E26" t="s">
        <v>29</v>
      </c>
      <c r="F26" t="s">
        <v>14</v>
      </c>
      <c r="G26">
        <v>5</v>
      </c>
      <c r="H26">
        <v>1571</v>
      </c>
      <c r="I26" s="1">
        <v>45680</v>
      </c>
      <c r="J26" t="s">
        <v>15</v>
      </c>
      <c r="K26" t="str">
        <f>IMPRODUCT(Table2[[#This Row],[Quantity]],Table2[[#This Row],[Price]])</f>
        <v>7855</v>
      </c>
    </row>
    <row r="27" spans="1:11" x14ac:dyDescent="0.3">
      <c r="A27">
        <v>1026</v>
      </c>
      <c r="B27" t="s">
        <v>59</v>
      </c>
      <c r="C27" t="s">
        <v>31</v>
      </c>
      <c r="D27" t="s">
        <v>44</v>
      </c>
      <c r="E27" t="s">
        <v>29</v>
      </c>
      <c r="F27" t="s">
        <v>33</v>
      </c>
      <c r="G27">
        <v>3</v>
      </c>
      <c r="H27">
        <v>1302</v>
      </c>
      <c r="I27" s="1">
        <v>45743</v>
      </c>
      <c r="J27" t="s">
        <v>15</v>
      </c>
      <c r="K27" t="str">
        <f>IMPRODUCT(Table2[[#This Row],[Quantity]],Table2[[#This Row],[Price]])</f>
        <v>3906</v>
      </c>
    </row>
    <row r="28" spans="1:11" x14ac:dyDescent="0.3">
      <c r="A28">
        <v>1027</v>
      </c>
      <c r="B28" t="s">
        <v>60</v>
      </c>
      <c r="C28" t="s">
        <v>11</v>
      </c>
      <c r="D28" t="s">
        <v>12</v>
      </c>
      <c r="E28" t="s">
        <v>13</v>
      </c>
      <c r="F28" t="s">
        <v>42</v>
      </c>
      <c r="G28">
        <v>5</v>
      </c>
      <c r="H28">
        <v>1060</v>
      </c>
      <c r="I28" s="1">
        <v>45676</v>
      </c>
      <c r="J28" t="s">
        <v>45</v>
      </c>
      <c r="K28" t="str">
        <f>IMPRODUCT(Table2[[#This Row],[Quantity]],Table2[[#This Row],[Price]])</f>
        <v>5300</v>
      </c>
    </row>
    <row r="29" spans="1:11" x14ac:dyDescent="0.3">
      <c r="A29">
        <v>1028</v>
      </c>
      <c r="B29" t="s">
        <v>61</v>
      </c>
      <c r="C29" t="s">
        <v>37</v>
      </c>
      <c r="D29" t="s">
        <v>12</v>
      </c>
      <c r="E29" t="s">
        <v>29</v>
      </c>
      <c r="F29" t="s">
        <v>19</v>
      </c>
      <c r="G29">
        <v>4</v>
      </c>
      <c r="H29">
        <v>1879</v>
      </c>
      <c r="I29" s="1">
        <v>45687</v>
      </c>
      <c r="J29" t="s">
        <v>25</v>
      </c>
      <c r="K29" t="str">
        <f>IMPRODUCT(Table2[[#This Row],[Quantity]],Table2[[#This Row],[Price]])</f>
        <v>7516</v>
      </c>
    </row>
    <row r="30" spans="1:11" x14ac:dyDescent="0.3">
      <c r="A30">
        <v>1029</v>
      </c>
      <c r="B30" t="s">
        <v>62</v>
      </c>
      <c r="C30" t="s">
        <v>17</v>
      </c>
      <c r="D30" t="s">
        <v>32</v>
      </c>
      <c r="E30" t="s">
        <v>13</v>
      </c>
      <c r="F30" t="s">
        <v>33</v>
      </c>
      <c r="G30">
        <v>3</v>
      </c>
      <c r="H30">
        <v>1963</v>
      </c>
      <c r="I30" s="1">
        <v>45746</v>
      </c>
      <c r="J30" t="s">
        <v>15</v>
      </c>
      <c r="K30" t="str">
        <f>IMPRODUCT(Table2[[#This Row],[Quantity]],Table2[[#This Row],[Price]])</f>
        <v>5889</v>
      </c>
    </row>
    <row r="31" spans="1:11" x14ac:dyDescent="0.3">
      <c r="A31">
        <v>1030</v>
      </c>
      <c r="B31" t="s">
        <v>63</v>
      </c>
      <c r="C31" t="s">
        <v>17</v>
      </c>
      <c r="D31" t="s">
        <v>44</v>
      </c>
      <c r="E31" t="s">
        <v>23</v>
      </c>
      <c r="F31" t="s">
        <v>19</v>
      </c>
      <c r="G31">
        <v>5</v>
      </c>
      <c r="H31">
        <v>1673</v>
      </c>
      <c r="I31" s="1">
        <v>45676</v>
      </c>
      <c r="J31" t="s">
        <v>15</v>
      </c>
      <c r="K31" t="str">
        <f>IMPRODUCT(Table2[[#This Row],[Quantity]],Table2[[#This Row],[Price]])</f>
        <v>8365</v>
      </c>
    </row>
    <row r="32" spans="1:11" x14ac:dyDescent="0.3">
      <c r="A32">
        <v>1031</v>
      </c>
      <c r="B32" t="s">
        <v>64</v>
      </c>
      <c r="C32" t="s">
        <v>31</v>
      </c>
      <c r="D32" t="s">
        <v>12</v>
      </c>
      <c r="E32" t="s">
        <v>13</v>
      </c>
      <c r="F32" t="s">
        <v>14</v>
      </c>
      <c r="G32">
        <v>5</v>
      </c>
      <c r="H32">
        <v>1135</v>
      </c>
      <c r="I32" s="1">
        <v>45742</v>
      </c>
      <c r="J32" t="s">
        <v>15</v>
      </c>
      <c r="K32" t="str">
        <f>IMPRODUCT(Table2[[#This Row],[Quantity]],Table2[[#This Row],[Price]])</f>
        <v>5675</v>
      </c>
    </row>
    <row r="33" spans="1:11" x14ac:dyDescent="0.3">
      <c r="A33">
        <v>1032</v>
      </c>
      <c r="B33" t="s">
        <v>65</v>
      </c>
      <c r="C33" t="s">
        <v>11</v>
      </c>
      <c r="D33" t="s">
        <v>22</v>
      </c>
      <c r="E33" t="s">
        <v>29</v>
      </c>
      <c r="F33" t="s">
        <v>19</v>
      </c>
      <c r="G33">
        <v>5</v>
      </c>
      <c r="H33">
        <v>1550</v>
      </c>
      <c r="I33" s="1">
        <v>45725</v>
      </c>
      <c r="J33" t="s">
        <v>20</v>
      </c>
      <c r="K33" t="str">
        <f>IMPRODUCT(Table2[[#This Row],[Quantity]],Table2[[#This Row],[Price]])</f>
        <v>7750</v>
      </c>
    </row>
    <row r="34" spans="1:11" x14ac:dyDescent="0.3">
      <c r="A34">
        <v>1033</v>
      </c>
      <c r="B34" t="s">
        <v>66</v>
      </c>
      <c r="C34" t="s">
        <v>17</v>
      </c>
      <c r="D34" t="s">
        <v>44</v>
      </c>
      <c r="E34" t="s">
        <v>29</v>
      </c>
      <c r="F34" t="s">
        <v>19</v>
      </c>
      <c r="G34">
        <v>5</v>
      </c>
      <c r="H34">
        <v>1646</v>
      </c>
      <c r="I34" s="1">
        <v>45693</v>
      </c>
      <c r="J34" t="s">
        <v>20</v>
      </c>
      <c r="K34" t="str">
        <f>IMPRODUCT(Table2[[#This Row],[Quantity]],Table2[[#This Row],[Price]])</f>
        <v>8230</v>
      </c>
    </row>
    <row r="35" spans="1:11" x14ac:dyDescent="0.3">
      <c r="A35">
        <v>1034</v>
      </c>
      <c r="B35" t="s">
        <v>67</v>
      </c>
      <c r="C35" t="s">
        <v>11</v>
      </c>
      <c r="D35" t="s">
        <v>32</v>
      </c>
      <c r="E35" t="s">
        <v>29</v>
      </c>
      <c r="F35" t="s">
        <v>33</v>
      </c>
      <c r="G35">
        <v>4</v>
      </c>
      <c r="H35">
        <v>1559</v>
      </c>
      <c r="I35" s="1">
        <v>45733</v>
      </c>
      <c r="J35" t="s">
        <v>15</v>
      </c>
      <c r="K35" t="str">
        <f>IMPRODUCT(Table2[[#This Row],[Quantity]],Table2[[#This Row],[Price]])</f>
        <v>6236</v>
      </c>
    </row>
    <row r="36" spans="1:11" x14ac:dyDescent="0.3">
      <c r="A36">
        <v>1035</v>
      </c>
      <c r="B36" t="s">
        <v>68</v>
      </c>
      <c r="C36" t="s">
        <v>17</v>
      </c>
      <c r="D36" t="s">
        <v>32</v>
      </c>
      <c r="E36" t="s">
        <v>29</v>
      </c>
      <c r="F36" t="s">
        <v>42</v>
      </c>
      <c r="G36">
        <v>5</v>
      </c>
      <c r="H36">
        <v>1793</v>
      </c>
      <c r="I36" s="1">
        <v>45659</v>
      </c>
      <c r="J36" t="s">
        <v>45</v>
      </c>
      <c r="K36" t="str">
        <f>IMPRODUCT(Table2[[#This Row],[Quantity]],Table2[[#This Row],[Price]])</f>
        <v>8965</v>
      </c>
    </row>
    <row r="37" spans="1:11" x14ac:dyDescent="0.3">
      <c r="A37">
        <v>1036</v>
      </c>
      <c r="B37" t="s">
        <v>69</v>
      </c>
      <c r="C37" t="s">
        <v>11</v>
      </c>
      <c r="D37" t="s">
        <v>18</v>
      </c>
      <c r="E37" t="s">
        <v>23</v>
      </c>
      <c r="F37" t="s">
        <v>19</v>
      </c>
      <c r="G37">
        <v>5</v>
      </c>
      <c r="H37">
        <v>1030</v>
      </c>
      <c r="I37" s="1">
        <v>45749</v>
      </c>
      <c r="J37" t="s">
        <v>25</v>
      </c>
      <c r="K37" t="str">
        <f>IMPRODUCT(Table2[[#This Row],[Quantity]],Table2[[#This Row],[Price]])</f>
        <v>5150</v>
      </c>
    </row>
    <row r="38" spans="1:11" x14ac:dyDescent="0.3">
      <c r="A38">
        <v>1037</v>
      </c>
      <c r="B38" t="s">
        <v>70</v>
      </c>
      <c r="C38" t="s">
        <v>17</v>
      </c>
      <c r="D38" t="s">
        <v>32</v>
      </c>
      <c r="E38" t="s">
        <v>29</v>
      </c>
      <c r="F38" t="s">
        <v>33</v>
      </c>
      <c r="G38">
        <v>2</v>
      </c>
      <c r="H38">
        <v>1921</v>
      </c>
      <c r="I38" s="1">
        <v>45756</v>
      </c>
      <c r="J38" t="s">
        <v>25</v>
      </c>
      <c r="K38" t="str">
        <f>IMPRODUCT(Table2[[#This Row],[Quantity]],Table2[[#This Row],[Price]])</f>
        <v>3842</v>
      </c>
    </row>
    <row r="39" spans="1:11" x14ac:dyDescent="0.3">
      <c r="A39">
        <v>1038</v>
      </c>
      <c r="B39" t="s">
        <v>71</v>
      </c>
      <c r="C39" t="s">
        <v>31</v>
      </c>
      <c r="D39" t="s">
        <v>32</v>
      </c>
      <c r="E39" t="s">
        <v>29</v>
      </c>
      <c r="F39" t="s">
        <v>14</v>
      </c>
      <c r="G39">
        <v>1</v>
      </c>
      <c r="H39">
        <v>1674</v>
      </c>
      <c r="I39" s="1">
        <v>45764</v>
      </c>
      <c r="J39" t="s">
        <v>25</v>
      </c>
      <c r="K39" t="str">
        <f>IMPRODUCT(Table2[[#This Row],[Quantity]],Table2[[#This Row],[Price]])</f>
        <v>1674</v>
      </c>
    </row>
    <row r="40" spans="1:11" x14ac:dyDescent="0.3">
      <c r="A40">
        <v>1039</v>
      </c>
      <c r="B40" t="s">
        <v>72</v>
      </c>
      <c r="C40" t="s">
        <v>17</v>
      </c>
      <c r="D40" t="s">
        <v>22</v>
      </c>
      <c r="E40" t="s">
        <v>13</v>
      </c>
      <c r="F40" t="s">
        <v>33</v>
      </c>
      <c r="G40">
        <v>1</v>
      </c>
      <c r="H40">
        <v>1218</v>
      </c>
      <c r="I40" s="1">
        <v>45682</v>
      </c>
      <c r="J40" t="s">
        <v>25</v>
      </c>
      <c r="K40" t="str">
        <f>IMPRODUCT(Table2[[#This Row],[Quantity]],Table2[[#This Row],[Price]])</f>
        <v>1218</v>
      </c>
    </row>
    <row r="41" spans="1:11" x14ac:dyDescent="0.3">
      <c r="A41">
        <v>1040</v>
      </c>
      <c r="B41" t="s">
        <v>73</v>
      </c>
      <c r="C41" t="s">
        <v>31</v>
      </c>
      <c r="D41" t="s">
        <v>22</v>
      </c>
      <c r="E41" t="s">
        <v>13</v>
      </c>
      <c r="F41" t="s">
        <v>14</v>
      </c>
      <c r="G41">
        <v>4</v>
      </c>
      <c r="H41">
        <v>1034</v>
      </c>
      <c r="I41" s="1">
        <v>45778</v>
      </c>
      <c r="J41" t="s">
        <v>25</v>
      </c>
      <c r="K41" t="str">
        <f>IMPRODUCT(Table2[[#This Row],[Quantity]],Table2[[#This Row],[Price]])</f>
        <v>4136</v>
      </c>
    </row>
    <row r="42" spans="1:11" x14ac:dyDescent="0.3">
      <c r="A42">
        <v>1041</v>
      </c>
      <c r="B42" t="s">
        <v>74</v>
      </c>
      <c r="C42" t="s">
        <v>37</v>
      </c>
      <c r="D42" t="s">
        <v>28</v>
      </c>
      <c r="E42" t="s">
        <v>29</v>
      </c>
      <c r="F42" t="s">
        <v>24</v>
      </c>
      <c r="G42">
        <v>3</v>
      </c>
      <c r="H42">
        <v>1633</v>
      </c>
      <c r="I42" s="1">
        <v>45743</v>
      </c>
      <c r="J42" t="s">
        <v>25</v>
      </c>
      <c r="K42" t="str">
        <f>IMPRODUCT(Table2[[#This Row],[Quantity]],Table2[[#This Row],[Price]])</f>
        <v>4899</v>
      </c>
    </row>
    <row r="43" spans="1:11" x14ac:dyDescent="0.3">
      <c r="A43">
        <v>1042</v>
      </c>
      <c r="B43" t="s">
        <v>75</v>
      </c>
      <c r="C43" t="s">
        <v>37</v>
      </c>
      <c r="D43" t="s">
        <v>28</v>
      </c>
      <c r="E43" t="s">
        <v>13</v>
      </c>
      <c r="F43" t="s">
        <v>24</v>
      </c>
      <c r="G43">
        <v>4</v>
      </c>
      <c r="H43">
        <v>720</v>
      </c>
      <c r="I43" s="1">
        <v>45677</v>
      </c>
      <c r="J43" t="s">
        <v>15</v>
      </c>
      <c r="K43" t="str">
        <f>IMPRODUCT(Table2[[#This Row],[Quantity]],Table2[[#This Row],[Price]])</f>
        <v>2880</v>
      </c>
    </row>
    <row r="44" spans="1:11" x14ac:dyDescent="0.3">
      <c r="A44">
        <v>1043</v>
      </c>
      <c r="B44" t="s">
        <v>76</v>
      </c>
      <c r="C44" t="s">
        <v>31</v>
      </c>
      <c r="D44" t="s">
        <v>28</v>
      </c>
      <c r="E44" t="s">
        <v>29</v>
      </c>
      <c r="F44" t="s">
        <v>33</v>
      </c>
      <c r="G44">
        <v>2</v>
      </c>
      <c r="H44">
        <v>1238</v>
      </c>
      <c r="I44" s="1">
        <v>45738</v>
      </c>
      <c r="J44" t="s">
        <v>25</v>
      </c>
      <c r="K44" t="str">
        <f>IMPRODUCT(Table2[[#This Row],[Quantity]],Table2[[#This Row],[Price]])</f>
        <v>2476</v>
      </c>
    </row>
    <row r="45" spans="1:11" x14ac:dyDescent="0.3">
      <c r="A45">
        <v>1044</v>
      </c>
      <c r="B45" t="s">
        <v>77</v>
      </c>
      <c r="C45" t="s">
        <v>11</v>
      </c>
      <c r="D45" t="s">
        <v>12</v>
      </c>
      <c r="E45" t="s">
        <v>13</v>
      </c>
      <c r="F45" t="s">
        <v>42</v>
      </c>
      <c r="G45">
        <v>4</v>
      </c>
      <c r="H45">
        <v>1779</v>
      </c>
      <c r="I45" s="1">
        <v>45669</v>
      </c>
      <c r="J45" t="s">
        <v>15</v>
      </c>
      <c r="K45" t="str">
        <f>IMPRODUCT(Table2[[#This Row],[Quantity]],Table2[[#This Row],[Price]])</f>
        <v>7116</v>
      </c>
    </row>
    <row r="46" spans="1:11" x14ac:dyDescent="0.3">
      <c r="A46">
        <v>1045</v>
      </c>
      <c r="B46" t="s">
        <v>78</v>
      </c>
      <c r="C46" t="s">
        <v>37</v>
      </c>
      <c r="D46" t="s">
        <v>12</v>
      </c>
      <c r="E46" t="s">
        <v>13</v>
      </c>
      <c r="F46" t="s">
        <v>14</v>
      </c>
      <c r="G46">
        <v>5</v>
      </c>
      <c r="H46">
        <v>1667</v>
      </c>
      <c r="I46" s="1">
        <v>45765</v>
      </c>
      <c r="J46" t="s">
        <v>15</v>
      </c>
      <c r="K46" t="str">
        <f>IMPRODUCT(Table2[[#This Row],[Quantity]],Table2[[#This Row],[Price]])</f>
        <v>8335</v>
      </c>
    </row>
    <row r="47" spans="1:11" x14ac:dyDescent="0.3">
      <c r="A47">
        <v>1046</v>
      </c>
      <c r="B47" t="s">
        <v>79</v>
      </c>
      <c r="C47" t="s">
        <v>35</v>
      </c>
      <c r="D47" t="s">
        <v>22</v>
      </c>
      <c r="E47" t="s">
        <v>23</v>
      </c>
      <c r="F47" t="s">
        <v>19</v>
      </c>
      <c r="G47">
        <v>1</v>
      </c>
      <c r="H47">
        <v>1094</v>
      </c>
      <c r="I47" s="1">
        <v>45669</v>
      </c>
      <c r="J47" t="s">
        <v>20</v>
      </c>
      <c r="K47" t="str">
        <f>IMPRODUCT(Table2[[#This Row],[Quantity]],Table2[[#This Row],[Price]])</f>
        <v>1094</v>
      </c>
    </row>
    <row r="48" spans="1:11" x14ac:dyDescent="0.3">
      <c r="A48">
        <v>1047</v>
      </c>
      <c r="B48" t="s">
        <v>80</v>
      </c>
      <c r="C48" t="s">
        <v>11</v>
      </c>
      <c r="D48" t="s">
        <v>18</v>
      </c>
      <c r="E48" t="s">
        <v>13</v>
      </c>
      <c r="F48" t="s">
        <v>42</v>
      </c>
      <c r="G48">
        <v>5</v>
      </c>
      <c r="H48">
        <v>1120</v>
      </c>
      <c r="I48" s="1">
        <v>45668</v>
      </c>
      <c r="J48" t="s">
        <v>20</v>
      </c>
      <c r="K48" t="str">
        <f>IMPRODUCT(Table2[[#This Row],[Quantity]],Table2[[#This Row],[Price]])</f>
        <v>5600</v>
      </c>
    </row>
    <row r="49" spans="1:11" x14ac:dyDescent="0.3">
      <c r="A49">
        <v>1048</v>
      </c>
      <c r="B49" t="s">
        <v>81</v>
      </c>
      <c r="C49" t="s">
        <v>11</v>
      </c>
      <c r="D49" t="s">
        <v>44</v>
      </c>
      <c r="E49" t="s">
        <v>13</v>
      </c>
      <c r="F49" t="s">
        <v>24</v>
      </c>
      <c r="G49">
        <v>5</v>
      </c>
      <c r="H49">
        <v>1786</v>
      </c>
      <c r="I49" s="1">
        <v>45744</v>
      </c>
      <c r="J49" t="s">
        <v>45</v>
      </c>
      <c r="K49" t="str">
        <f>IMPRODUCT(Table2[[#This Row],[Quantity]],Table2[[#This Row],[Price]])</f>
        <v>8930</v>
      </c>
    </row>
    <row r="50" spans="1:11" x14ac:dyDescent="0.3">
      <c r="A50">
        <v>1049</v>
      </c>
      <c r="B50" t="s">
        <v>82</v>
      </c>
      <c r="C50" t="s">
        <v>17</v>
      </c>
      <c r="D50" t="s">
        <v>44</v>
      </c>
      <c r="E50" t="s">
        <v>29</v>
      </c>
      <c r="F50" t="s">
        <v>24</v>
      </c>
      <c r="G50">
        <v>1</v>
      </c>
      <c r="H50">
        <v>1199</v>
      </c>
      <c r="I50" s="1">
        <v>45743</v>
      </c>
      <c r="J50" t="s">
        <v>15</v>
      </c>
      <c r="K50" t="str">
        <f>IMPRODUCT(Table2[[#This Row],[Quantity]],Table2[[#This Row],[Price]])</f>
        <v>1199</v>
      </c>
    </row>
    <row r="51" spans="1:11" x14ac:dyDescent="0.3">
      <c r="A51">
        <v>1050</v>
      </c>
      <c r="B51" t="s">
        <v>83</v>
      </c>
      <c r="C51" t="s">
        <v>17</v>
      </c>
      <c r="D51" t="s">
        <v>32</v>
      </c>
      <c r="E51" t="s">
        <v>29</v>
      </c>
      <c r="F51" t="s">
        <v>19</v>
      </c>
      <c r="G51">
        <v>1</v>
      </c>
      <c r="H51">
        <v>733</v>
      </c>
      <c r="I51" s="1">
        <v>45669</v>
      </c>
      <c r="J51" t="s">
        <v>45</v>
      </c>
      <c r="K51" t="str">
        <f>IMPRODUCT(Table2[[#This Row],[Quantity]],Table2[[#This Row],[Price]])</f>
        <v>733</v>
      </c>
    </row>
    <row r="52" spans="1:11" x14ac:dyDescent="0.3">
      <c r="A52">
        <v>1051</v>
      </c>
      <c r="B52" t="s">
        <v>84</v>
      </c>
      <c r="C52" t="s">
        <v>37</v>
      </c>
      <c r="D52" t="s">
        <v>22</v>
      </c>
      <c r="E52" t="s">
        <v>13</v>
      </c>
      <c r="F52" t="s">
        <v>19</v>
      </c>
      <c r="G52">
        <v>5</v>
      </c>
      <c r="H52">
        <v>1113</v>
      </c>
      <c r="I52" s="1">
        <v>45679</v>
      </c>
      <c r="J52" t="s">
        <v>25</v>
      </c>
      <c r="K52" t="str">
        <f>IMPRODUCT(Table2[[#This Row],[Quantity]],Table2[[#This Row],[Price]])</f>
        <v>5565</v>
      </c>
    </row>
    <row r="53" spans="1:11" x14ac:dyDescent="0.3">
      <c r="A53">
        <v>1052</v>
      </c>
      <c r="B53" t="s">
        <v>85</v>
      </c>
      <c r="C53" t="s">
        <v>40</v>
      </c>
      <c r="D53" t="s">
        <v>44</v>
      </c>
      <c r="E53" t="s">
        <v>23</v>
      </c>
      <c r="F53" t="s">
        <v>19</v>
      </c>
      <c r="G53">
        <v>5</v>
      </c>
      <c r="H53">
        <v>764</v>
      </c>
      <c r="I53" s="1">
        <v>45728</v>
      </c>
      <c r="J53" t="s">
        <v>15</v>
      </c>
      <c r="K53" t="str">
        <f>IMPRODUCT(Table2[[#This Row],[Quantity]],Table2[[#This Row],[Price]])</f>
        <v>3820</v>
      </c>
    </row>
    <row r="54" spans="1:11" x14ac:dyDescent="0.3">
      <c r="A54">
        <v>1053</v>
      </c>
      <c r="B54" t="s">
        <v>86</v>
      </c>
      <c r="C54" t="s">
        <v>11</v>
      </c>
      <c r="D54" t="s">
        <v>32</v>
      </c>
      <c r="E54" t="s">
        <v>29</v>
      </c>
      <c r="F54" t="s">
        <v>24</v>
      </c>
      <c r="G54">
        <v>1</v>
      </c>
      <c r="H54">
        <v>1959</v>
      </c>
      <c r="I54" s="1">
        <v>45715</v>
      </c>
      <c r="J54" t="s">
        <v>20</v>
      </c>
      <c r="K54" t="str">
        <f>IMPRODUCT(Table2[[#This Row],[Quantity]],Table2[[#This Row],[Price]])</f>
        <v>1959</v>
      </c>
    </row>
    <row r="55" spans="1:11" x14ac:dyDescent="0.3">
      <c r="A55">
        <v>1054</v>
      </c>
      <c r="B55" t="s">
        <v>87</v>
      </c>
      <c r="C55" t="s">
        <v>37</v>
      </c>
      <c r="D55" t="s">
        <v>44</v>
      </c>
      <c r="E55" t="s">
        <v>13</v>
      </c>
      <c r="F55" t="s">
        <v>42</v>
      </c>
      <c r="G55">
        <v>1</v>
      </c>
      <c r="H55">
        <v>1829</v>
      </c>
      <c r="I55" s="1">
        <v>45771</v>
      </c>
      <c r="J55" t="s">
        <v>25</v>
      </c>
      <c r="K55" t="str">
        <f>IMPRODUCT(Table2[[#This Row],[Quantity]],Table2[[#This Row],[Price]])</f>
        <v>1829</v>
      </c>
    </row>
    <row r="56" spans="1:11" x14ac:dyDescent="0.3">
      <c r="A56">
        <v>1055</v>
      </c>
      <c r="B56" t="s">
        <v>88</v>
      </c>
      <c r="C56" t="s">
        <v>40</v>
      </c>
      <c r="D56" t="s">
        <v>32</v>
      </c>
      <c r="E56" t="s">
        <v>29</v>
      </c>
      <c r="F56" t="s">
        <v>19</v>
      </c>
      <c r="G56">
        <v>2</v>
      </c>
      <c r="H56">
        <v>899</v>
      </c>
      <c r="I56" s="1">
        <v>45757</v>
      </c>
      <c r="J56" t="s">
        <v>20</v>
      </c>
      <c r="K56" t="str">
        <f>IMPRODUCT(Table2[[#This Row],[Quantity]],Table2[[#This Row],[Price]])</f>
        <v>1798</v>
      </c>
    </row>
    <row r="57" spans="1:11" x14ac:dyDescent="0.3">
      <c r="A57">
        <v>1056</v>
      </c>
      <c r="B57" t="s">
        <v>89</v>
      </c>
      <c r="C57" t="s">
        <v>11</v>
      </c>
      <c r="D57" t="s">
        <v>28</v>
      </c>
      <c r="E57" t="s">
        <v>23</v>
      </c>
      <c r="F57" t="s">
        <v>24</v>
      </c>
      <c r="G57">
        <v>5</v>
      </c>
      <c r="H57">
        <v>1250</v>
      </c>
      <c r="I57" s="1">
        <v>45659</v>
      </c>
      <c r="J57" t="s">
        <v>15</v>
      </c>
      <c r="K57" t="str">
        <f>IMPRODUCT(Table2[[#This Row],[Quantity]],Table2[[#This Row],[Price]])</f>
        <v>6250</v>
      </c>
    </row>
    <row r="58" spans="1:11" x14ac:dyDescent="0.3">
      <c r="A58">
        <v>1057</v>
      </c>
      <c r="B58" t="s">
        <v>90</v>
      </c>
      <c r="C58" t="s">
        <v>40</v>
      </c>
      <c r="D58" t="s">
        <v>32</v>
      </c>
      <c r="E58" t="s">
        <v>13</v>
      </c>
      <c r="F58" t="s">
        <v>19</v>
      </c>
      <c r="G58">
        <v>1</v>
      </c>
      <c r="H58">
        <v>945</v>
      </c>
      <c r="I58" s="1">
        <v>45778</v>
      </c>
      <c r="J58" t="s">
        <v>15</v>
      </c>
      <c r="K58" t="str">
        <f>IMPRODUCT(Table2[[#This Row],[Quantity]],Table2[[#This Row],[Price]])</f>
        <v>945</v>
      </c>
    </row>
    <row r="59" spans="1:11" x14ac:dyDescent="0.3">
      <c r="A59">
        <v>1058</v>
      </c>
      <c r="B59" t="s">
        <v>91</v>
      </c>
      <c r="C59" t="s">
        <v>37</v>
      </c>
      <c r="D59" t="s">
        <v>22</v>
      </c>
      <c r="E59" t="s">
        <v>13</v>
      </c>
      <c r="F59" t="s">
        <v>14</v>
      </c>
      <c r="G59">
        <v>5</v>
      </c>
      <c r="H59">
        <v>1752</v>
      </c>
      <c r="I59" s="1">
        <v>45758</v>
      </c>
      <c r="J59" t="s">
        <v>15</v>
      </c>
      <c r="K59" t="str">
        <f>IMPRODUCT(Table2[[#This Row],[Quantity]],Table2[[#This Row],[Price]])</f>
        <v>8760</v>
      </c>
    </row>
    <row r="60" spans="1:11" x14ac:dyDescent="0.3">
      <c r="A60">
        <v>1059</v>
      </c>
      <c r="B60" t="s">
        <v>92</v>
      </c>
      <c r="C60" t="s">
        <v>40</v>
      </c>
      <c r="D60" t="s">
        <v>32</v>
      </c>
      <c r="E60" t="s">
        <v>23</v>
      </c>
      <c r="F60" t="s">
        <v>33</v>
      </c>
      <c r="G60">
        <v>4</v>
      </c>
      <c r="H60">
        <v>1909</v>
      </c>
      <c r="I60" s="1">
        <v>45760</v>
      </c>
      <c r="J60" t="s">
        <v>15</v>
      </c>
      <c r="K60" t="str">
        <f>IMPRODUCT(Table2[[#This Row],[Quantity]],Table2[[#This Row],[Price]])</f>
        <v>7636</v>
      </c>
    </row>
    <row r="61" spans="1:11" x14ac:dyDescent="0.3">
      <c r="A61">
        <v>1060</v>
      </c>
      <c r="B61" t="s">
        <v>93</v>
      </c>
      <c r="C61" t="s">
        <v>35</v>
      </c>
      <c r="D61" t="s">
        <v>32</v>
      </c>
      <c r="E61" t="s">
        <v>23</v>
      </c>
      <c r="F61" t="s">
        <v>19</v>
      </c>
      <c r="G61">
        <v>5</v>
      </c>
      <c r="H61">
        <v>1714</v>
      </c>
      <c r="I61" s="1">
        <v>45669</v>
      </c>
      <c r="J61" t="s">
        <v>25</v>
      </c>
      <c r="K61" t="str">
        <f>IMPRODUCT(Table2[[#This Row],[Quantity]],Table2[[#This Row],[Price]])</f>
        <v>8570</v>
      </c>
    </row>
    <row r="62" spans="1:11" x14ac:dyDescent="0.3">
      <c r="A62">
        <v>1061</v>
      </c>
      <c r="B62" t="s">
        <v>94</v>
      </c>
      <c r="C62" t="s">
        <v>31</v>
      </c>
      <c r="D62" t="s">
        <v>28</v>
      </c>
      <c r="E62" t="s">
        <v>23</v>
      </c>
      <c r="F62" t="s">
        <v>24</v>
      </c>
      <c r="G62">
        <v>5</v>
      </c>
      <c r="H62">
        <v>1519</v>
      </c>
      <c r="I62" s="1">
        <v>45709</v>
      </c>
      <c r="J62" t="s">
        <v>15</v>
      </c>
      <c r="K62" t="str">
        <f>IMPRODUCT(Table2[[#This Row],[Quantity]],Table2[[#This Row],[Price]])</f>
        <v>7595</v>
      </c>
    </row>
    <row r="63" spans="1:11" x14ac:dyDescent="0.3">
      <c r="A63">
        <v>1062</v>
      </c>
      <c r="B63" t="s">
        <v>95</v>
      </c>
      <c r="C63" t="s">
        <v>17</v>
      </c>
      <c r="D63" t="s">
        <v>12</v>
      </c>
      <c r="E63" t="s">
        <v>23</v>
      </c>
      <c r="F63" t="s">
        <v>14</v>
      </c>
      <c r="G63">
        <v>4</v>
      </c>
      <c r="H63">
        <v>1769</v>
      </c>
      <c r="I63" s="1">
        <v>45752</v>
      </c>
      <c r="J63" t="s">
        <v>20</v>
      </c>
      <c r="K63" t="str">
        <f>IMPRODUCT(Table2[[#This Row],[Quantity]],Table2[[#This Row],[Price]])</f>
        <v>7076</v>
      </c>
    </row>
    <row r="64" spans="1:11" x14ac:dyDescent="0.3">
      <c r="A64">
        <v>1063</v>
      </c>
      <c r="B64" t="s">
        <v>96</v>
      </c>
      <c r="C64" t="s">
        <v>17</v>
      </c>
      <c r="D64" t="s">
        <v>22</v>
      </c>
      <c r="E64" t="s">
        <v>29</v>
      </c>
      <c r="F64" t="s">
        <v>42</v>
      </c>
      <c r="G64">
        <v>5</v>
      </c>
      <c r="H64">
        <v>1644</v>
      </c>
      <c r="I64" s="1">
        <v>45709</v>
      </c>
      <c r="J64" t="s">
        <v>25</v>
      </c>
      <c r="K64" t="str">
        <f>IMPRODUCT(Table2[[#This Row],[Quantity]],Table2[[#This Row],[Price]])</f>
        <v>8220</v>
      </c>
    </row>
    <row r="65" spans="1:11" x14ac:dyDescent="0.3">
      <c r="A65">
        <v>1064</v>
      </c>
      <c r="B65" t="s">
        <v>97</v>
      </c>
      <c r="C65" t="s">
        <v>37</v>
      </c>
      <c r="D65" t="s">
        <v>22</v>
      </c>
      <c r="E65" t="s">
        <v>23</v>
      </c>
      <c r="F65" t="s">
        <v>33</v>
      </c>
      <c r="G65">
        <v>2</v>
      </c>
      <c r="H65">
        <v>1991</v>
      </c>
      <c r="I65" s="1">
        <v>45685</v>
      </c>
      <c r="J65" t="s">
        <v>45</v>
      </c>
      <c r="K65" t="str">
        <f>IMPRODUCT(Table2[[#This Row],[Quantity]],Table2[[#This Row],[Price]])</f>
        <v>3982</v>
      </c>
    </row>
    <row r="66" spans="1:11" x14ac:dyDescent="0.3">
      <c r="A66">
        <v>1065</v>
      </c>
      <c r="B66" t="s">
        <v>98</v>
      </c>
      <c r="C66" t="s">
        <v>17</v>
      </c>
      <c r="D66" t="s">
        <v>44</v>
      </c>
      <c r="E66" t="s">
        <v>13</v>
      </c>
      <c r="F66" t="s">
        <v>42</v>
      </c>
      <c r="G66">
        <v>3</v>
      </c>
      <c r="H66">
        <v>1706</v>
      </c>
      <c r="I66" s="1">
        <v>45661</v>
      </c>
      <c r="J66" t="s">
        <v>15</v>
      </c>
      <c r="K66" t="str">
        <f>IMPRODUCT(Table2[[#This Row],[Quantity]],Table2[[#This Row],[Price]])</f>
        <v>5118</v>
      </c>
    </row>
    <row r="67" spans="1:11" x14ac:dyDescent="0.3">
      <c r="A67">
        <v>1066</v>
      </c>
      <c r="B67" t="s">
        <v>99</v>
      </c>
      <c r="C67" t="s">
        <v>11</v>
      </c>
      <c r="D67" t="s">
        <v>44</v>
      </c>
      <c r="E67" t="s">
        <v>13</v>
      </c>
      <c r="F67" t="s">
        <v>42</v>
      </c>
      <c r="G67">
        <v>1</v>
      </c>
      <c r="H67">
        <v>1884</v>
      </c>
      <c r="I67" s="1">
        <v>45744</v>
      </c>
      <c r="J67" t="s">
        <v>15</v>
      </c>
      <c r="K67" t="str">
        <f>IMPRODUCT(Table2[[#This Row],[Quantity]],Table2[[#This Row],[Price]])</f>
        <v>1884</v>
      </c>
    </row>
    <row r="68" spans="1:11" x14ac:dyDescent="0.3">
      <c r="A68">
        <v>1067</v>
      </c>
      <c r="B68" t="s">
        <v>100</v>
      </c>
      <c r="C68" t="s">
        <v>17</v>
      </c>
      <c r="D68" t="s">
        <v>32</v>
      </c>
      <c r="E68" t="s">
        <v>29</v>
      </c>
      <c r="F68" t="s">
        <v>19</v>
      </c>
      <c r="G68">
        <v>3</v>
      </c>
      <c r="H68">
        <v>1027</v>
      </c>
      <c r="I68" s="1">
        <v>45769</v>
      </c>
      <c r="J68" t="s">
        <v>15</v>
      </c>
      <c r="K68" t="str">
        <f>IMPRODUCT(Table2[[#This Row],[Quantity]],Table2[[#This Row],[Price]])</f>
        <v>3081</v>
      </c>
    </row>
    <row r="69" spans="1:11" x14ac:dyDescent="0.3">
      <c r="A69">
        <v>1068</v>
      </c>
      <c r="B69" t="s">
        <v>101</v>
      </c>
      <c r="C69" t="s">
        <v>40</v>
      </c>
      <c r="D69" t="s">
        <v>22</v>
      </c>
      <c r="E69" t="s">
        <v>29</v>
      </c>
      <c r="F69" t="s">
        <v>24</v>
      </c>
      <c r="G69">
        <v>2</v>
      </c>
      <c r="H69">
        <v>788</v>
      </c>
      <c r="I69" s="1">
        <v>45752</v>
      </c>
      <c r="J69" t="s">
        <v>25</v>
      </c>
      <c r="K69" t="str">
        <f>IMPRODUCT(Table2[[#This Row],[Quantity]],Table2[[#This Row],[Price]])</f>
        <v>1576</v>
      </c>
    </row>
    <row r="70" spans="1:11" x14ac:dyDescent="0.3">
      <c r="A70">
        <v>1069</v>
      </c>
      <c r="B70" t="s">
        <v>102</v>
      </c>
      <c r="C70" t="s">
        <v>35</v>
      </c>
      <c r="D70" t="s">
        <v>32</v>
      </c>
      <c r="E70" t="s">
        <v>29</v>
      </c>
      <c r="F70" t="s">
        <v>42</v>
      </c>
      <c r="G70">
        <v>3</v>
      </c>
      <c r="H70">
        <v>796</v>
      </c>
      <c r="I70" s="1">
        <v>45682</v>
      </c>
      <c r="J70" t="s">
        <v>20</v>
      </c>
      <c r="K70" t="str">
        <f>IMPRODUCT(Table2[[#This Row],[Quantity]],Table2[[#This Row],[Price]])</f>
        <v>2388</v>
      </c>
    </row>
    <row r="71" spans="1:11" x14ac:dyDescent="0.3">
      <c r="A71">
        <v>1070</v>
      </c>
      <c r="B71" t="s">
        <v>103</v>
      </c>
      <c r="C71" t="s">
        <v>17</v>
      </c>
      <c r="D71" t="s">
        <v>32</v>
      </c>
      <c r="E71" t="s">
        <v>23</v>
      </c>
      <c r="F71" t="s">
        <v>19</v>
      </c>
      <c r="G71">
        <v>4</v>
      </c>
      <c r="H71">
        <v>1829</v>
      </c>
      <c r="I71" s="1">
        <v>45670</v>
      </c>
      <c r="J71" t="s">
        <v>25</v>
      </c>
      <c r="K71" t="str">
        <f>IMPRODUCT(Table2[[#This Row],[Quantity]],Table2[[#This Row],[Price]])</f>
        <v>7316</v>
      </c>
    </row>
    <row r="72" spans="1:11" x14ac:dyDescent="0.3">
      <c r="A72">
        <v>1071</v>
      </c>
      <c r="B72" t="s">
        <v>104</v>
      </c>
      <c r="C72" t="s">
        <v>37</v>
      </c>
      <c r="D72" t="s">
        <v>18</v>
      </c>
      <c r="E72" t="s">
        <v>23</v>
      </c>
      <c r="F72" t="s">
        <v>14</v>
      </c>
      <c r="G72">
        <v>2</v>
      </c>
      <c r="H72">
        <v>1977</v>
      </c>
      <c r="I72" s="1">
        <v>45667</v>
      </c>
      <c r="J72" t="s">
        <v>45</v>
      </c>
      <c r="K72" t="str">
        <f>IMPRODUCT(Table2[[#This Row],[Quantity]],Table2[[#This Row],[Price]])</f>
        <v>3954</v>
      </c>
    </row>
    <row r="73" spans="1:11" x14ac:dyDescent="0.3">
      <c r="A73">
        <v>1072</v>
      </c>
      <c r="B73" t="s">
        <v>105</v>
      </c>
      <c r="C73" t="s">
        <v>31</v>
      </c>
      <c r="D73" t="s">
        <v>18</v>
      </c>
      <c r="E73" t="s">
        <v>29</v>
      </c>
      <c r="F73" t="s">
        <v>33</v>
      </c>
      <c r="G73">
        <v>5</v>
      </c>
      <c r="H73">
        <v>1964</v>
      </c>
      <c r="I73" s="1">
        <v>45694</v>
      </c>
      <c r="J73" t="s">
        <v>15</v>
      </c>
      <c r="K73" t="str">
        <f>IMPRODUCT(Table2[[#This Row],[Quantity]],Table2[[#This Row],[Price]])</f>
        <v>9820</v>
      </c>
    </row>
    <row r="74" spans="1:11" x14ac:dyDescent="0.3">
      <c r="A74">
        <v>1073</v>
      </c>
      <c r="B74" t="s">
        <v>106</v>
      </c>
      <c r="C74" t="s">
        <v>11</v>
      </c>
      <c r="D74" t="s">
        <v>32</v>
      </c>
      <c r="E74" t="s">
        <v>29</v>
      </c>
      <c r="F74" t="s">
        <v>33</v>
      </c>
      <c r="G74">
        <v>2</v>
      </c>
      <c r="H74">
        <v>1629</v>
      </c>
      <c r="I74" s="1">
        <v>45685</v>
      </c>
      <c r="J74" t="s">
        <v>45</v>
      </c>
      <c r="K74" t="str">
        <f>IMPRODUCT(Table2[[#This Row],[Quantity]],Table2[[#This Row],[Price]])</f>
        <v>3258</v>
      </c>
    </row>
    <row r="75" spans="1:11" x14ac:dyDescent="0.3">
      <c r="A75">
        <v>1074</v>
      </c>
      <c r="B75" t="s">
        <v>107</v>
      </c>
      <c r="C75" t="s">
        <v>35</v>
      </c>
      <c r="D75" t="s">
        <v>22</v>
      </c>
      <c r="E75" t="s">
        <v>13</v>
      </c>
      <c r="F75" t="s">
        <v>42</v>
      </c>
      <c r="G75">
        <v>1</v>
      </c>
      <c r="H75">
        <v>1987</v>
      </c>
      <c r="I75" s="1">
        <v>45772</v>
      </c>
      <c r="J75" t="s">
        <v>20</v>
      </c>
      <c r="K75" t="str">
        <f>IMPRODUCT(Table2[[#This Row],[Quantity]],Table2[[#This Row],[Price]])</f>
        <v>1987</v>
      </c>
    </row>
    <row r="76" spans="1:11" x14ac:dyDescent="0.3">
      <c r="A76">
        <v>1075</v>
      </c>
      <c r="B76" t="s">
        <v>108</v>
      </c>
      <c r="C76" t="s">
        <v>35</v>
      </c>
      <c r="D76" t="s">
        <v>44</v>
      </c>
      <c r="E76" t="s">
        <v>23</v>
      </c>
      <c r="F76" t="s">
        <v>19</v>
      </c>
      <c r="G76">
        <v>4</v>
      </c>
      <c r="H76">
        <v>1547</v>
      </c>
      <c r="I76" s="1">
        <v>45667</v>
      </c>
      <c r="J76" t="s">
        <v>45</v>
      </c>
      <c r="K76" t="str">
        <f>IMPRODUCT(Table2[[#This Row],[Quantity]],Table2[[#This Row],[Price]])</f>
        <v>6188</v>
      </c>
    </row>
    <row r="77" spans="1:11" x14ac:dyDescent="0.3">
      <c r="A77">
        <v>1076</v>
      </c>
      <c r="B77" t="s">
        <v>109</v>
      </c>
      <c r="C77" t="s">
        <v>37</v>
      </c>
      <c r="D77" t="s">
        <v>32</v>
      </c>
      <c r="E77" t="s">
        <v>13</v>
      </c>
      <c r="F77" t="s">
        <v>33</v>
      </c>
      <c r="G77">
        <v>5</v>
      </c>
      <c r="H77">
        <v>1923</v>
      </c>
      <c r="I77" s="1">
        <v>45759</v>
      </c>
      <c r="J77" t="s">
        <v>45</v>
      </c>
      <c r="K77" t="str">
        <f>IMPRODUCT(Table2[[#This Row],[Quantity]],Table2[[#This Row],[Price]])</f>
        <v>9615</v>
      </c>
    </row>
    <row r="78" spans="1:11" x14ac:dyDescent="0.3">
      <c r="A78">
        <v>1077</v>
      </c>
      <c r="B78" t="s">
        <v>110</v>
      </c>
      <c r="C78" t="s">
        <v>31</v>
      </c>
      <c r="D78" t="s">
        <v>32</v>
      </c>
      <c r="E78" t="s">
        <v>23</v>
      </c>
      <c r="F78" t="s">
        <v>19</v>
      </c>
      <c r="G78">
        <v>2</v>
      </c>
      <c r="H78">
        <v>1477</v>
      </c>
      <c r="I78" s="1">
        <v>45715</v>
      </c>
      <c r="J78" t="s">
        <v>20</v>
      </c>
      <c r="K78" t="str">
        <f>IMPRODUCT(Table2[[#This Row],[Quantity]],Table2[[#This Row],[Price]])</f>
        <v>2954</v>
      </c>
    </row>
    <row r="79" spans="1:11" x14ac:dyDescent="0.3">
      <c r="A79">
        <v>1078</v>
      </c>
      <c r="B79" t="s">
        <v>111</v>
      </c>
      <c r="C79" t="s">
        <v>40</v>
      </c>
      <c r="D79" t="s">
        <v>12</v>
      </c>
      <c r="E79" t="s">
        <v>29</v>
      </c>
      <c r="F79" t="s">
        <v>14</v>
      </c>
      <c r="G79">
        <v>4</v>
      </c>
      <c r="H79">
        <v>1464</v>
      </c>
      <c r="I79" s="1">
        <v>45672</v>
      </c>
      <c r="J79" t="s">
        <v>45</v>
      </c>
      <c r="K79" t="str">
        <f>IMPRODUCT(Table2[[#This Row],[Quantity]],Table2[[#This Row],[Price]])</f>
        <v>5856</v>
      </c>
    </row>
    <row r="80" spans="1:11" x14ac:dyDescent="0.3">
      <c r="A80">
        <v>1079</v>
      </c>
      <c r="B80" t="s">
        <v>112</v>
      </c>
      <c r="C80" t="s">
        <v>11</v>
      </c>
      <c r="D80" t="s">
        <v>28</v>
      </c>
      <c r="E80" t="s">
        <v>29</v>
      </c>
      <c r="F80" t="s">
        <v>14</v>
      </c>
      <c r="G80">
        <v>3</v>
      </c>
      <c r="H80">
        <v>1790</v>
      </c>
      <c r="I80" s="1">
        <v>45700</v>
      </c>
      <c r="J80" t="s">
        <v>25</v>
      </c>
      <c r="K80" t="str">
        <f>IMPRODUCT(Table2[[#This Row],[Quantity]],Table2[[#This Row],[Price]])</f>
        <v>5370</v>
      </c>
    </row>
    <row r="81" spans="1:11" x14ac:dyDescent="0.3">
      <c r="A81">
        <v>1080</v>
      </c>
      <c r="B81" t="s">
        <v>113</v>
      </c>
      <c r="C81" t="s">
        <v>11</v>
      </c>
      <c r="D81" t="s">
        <v>28</v>
      </c>
      <c r="E81" t="s">
        <v>23</v>
      </c>
      <c r="F81" t="s">
        <v>14</v>
      </c>
      <c r="G81">
        <v>4</v>
      </c>
      <c r="H81">
        <v>1819</v>
      </c>
      <c r="I81" s="1">
        <v>45712</v>
      </c>
      <c r="J81" t="s">
        <v>15</v>
      </c>
      <c r="K81" t="str">
        <f>IMPRODUCT(Table2[[#This Row],[Quantity]],Table2[[#This Row],[Price]])</f>
        <v>7276</v>
      </c>
    </row>
    <row r="82" spans="1:11" x14ac:dyDescent="0.3">
      <c r="A82">
        <v>1081</v>
      </c>
      <c r="B82" t="s">
        <v>114</v>
      </c>
      <c r="C82" t="s">
        <v>40</v>
      </c>
      <c r="D82" t="s">
        <v>12</v>
      </c>
      <c r="E82" t="s">
        <v>13</v>
      </c>
      <c r="F82" t="s">
        <v>14</v>
      </c>
      <c r="G82">
        <v>5</v>
      </c>
      <c r="H82">
        <v>1579</v>
      </c>
      <c r="I82" s="1">
        <v>45721</v>
      </c>
      <c r="J82" t="s">
        <v>25</v>
      </c>
      <c r="K82" t="str">
        <f>IMPRODUCT(Table2[[#This Row],[Quantity]],Table2[[#This Row],[Price]])</f>
        <v>7895</v>
      </c>
    </row>
    <row r="83" spans="1:11" x14ac:dyDescent="0.3">
      <c r="A83">
        <v>1082</v>
      </c>
      <c r="B83" t="s">
        <v>115</v>
      </c>
      <c r="C83" t="s">
        <v>37</v>
      </c>
      <c r="D83" t="s">
        <v>22</v>
      </c>
      <c r="E83" t="s">
        <v>13</v>
      </c>
      <c r="F83" t="s">
        <v>19</v>
      </c>
      <c r="G83">
        <v>1</v>
      </c>
      <c r="H83">
        <v>756</v>
      </c>
      <c r="I83" s="1">
        <v>45744</v>
      </c>
      <c r="J83" t="s">
        <v>15</v>
      </c>
      <c r="K83" t="str">
        <f>IMPRODUCT(Table2[[#This Row],[Quantity]],Table2[[#This Row],[Price]])</f>
        <v>756</v>
      </c>
    </row>
    <row r="84" spans="1:11" x14ac:dyDescent="0.3">
      <c r="A84">
        <v>1083</v>
      </c>
      <c r="B84" t="s">
        <v>116</v>
      </c>
      <c r="C84" t="s">
        <v>37</v>
      </c>
      <c r="D84" t="s">
        <v>32</v>
      </c>
      <c r="E84" t="s">
        <v>29</v>
      </c>
      <c r="F84" t="s">
        <v>42</v>
      </c>
      <c r="G84">
        <v>3</v>
      </c>
      <c r="H84">
        <v>1165</v>
      </c>
      <c r="I84" s="1">
        <v>45724</v>
      </c>
      <c r="J84" t="s">
        <v>45</v>
      </c>
      <c r="K84" t="str">
        <f>IMPRODUCT(Table2[[#This Row],[Quantity]],Table2[[#This Row],[Price]])</f>
        <v>3495</v>
      </c>
    </row>
    <row r="85" spans="1:11" x14ac:dyDescent="0.3">
      <c r="A85">
        <v>1084</v>
      </c>
      <c r="B85" t="s">
        <v>117</v>
      </c>
      <c r="C85" t="s">
        <v>35</v>
      </c>
      <c r="D85" t="s">
        <v>12</v>
      </c>
      <c r="E85" t="s">
        <v>13</v>
      </c>
      <c r="F85" t="s">
        <v>33</v>
      </c>
      <c r="G85">
        <v>5</v>
      </c>
      <c r="H85">
        <v>1229</v>
      </c>
      <c r="I85" s="1">
        <v>45738</v>
      </c>
      <c r="J85" t="s">
        <v>45</v>
      </c>
      <c r="K85" t="str">
        <f>IMPRODUCT(Table2[[#This Row],[Quantity]],Table2[[#This Row],[Price]])</f>
        <v>6145</v>
      </c>
    </row>
    <row r="86" spans="1:11" x14ac:dyDescent="0.3">
      <c r="A86">
        <v>1085</v>
      </c>
      <c r="B86" t="s">
        <v>118</v>
      </c>
      <c r="C86" t="s">
        <v>37</v>
      </c>
      <c r="D86" t="s">
        <v>18</v>
      </c>
      <c r="E86" t="s">
        <v>13</v>
      </c>
      <c r="F86" t="s">
        <v>42</v>
      </c>
      <c r="G86">
        <v>4</v>
      </c>
      <c r="H86">
        <v>1656</v>
      </c>
      <c r="I86" s="1">
        <v>45759</v>
      </c>
      <c r="J86" t="s">
        <v>45</v>
      </c>
      <c r="K86" t="str">
        <f>IMPRODUCT(Table2[[#This Row],[Quantity]],Table2[[#This Row],[Price]])</f>
        <v>6624</v>
      </c>
    </row>
    <row r="87" spans="1:11" x14ac:dyDescent="0.3">
      <c r="A87">
        <v>1086</v>
      </c>
      <c r="B87" t="s">
        <v>119</v>
      </c>
      <c r="C87" t="s">
        <v>35</v>
      </c>
      <c r="D87" t="s">
        <v>18</v>
      </c>
      <c r="E87" t="s">
        <v>13</v>
      </c>
      <c r="F87" t="s">
        <v>24</v>
      </c>
      <c r="G87">
        <v>2</v>
      </c>
      <c r="H87">
        <v>950</v>
      </c>
      <c r="I87" s="1">
        <v>45755</v>
      </c>
      <c r="J87" t="s">
        <v>45</v>
      </c>
      <c r="K87" t="str">
        <f>IMPRODUCT(Table2[[#This Row],[Quantity]],Table2[[#This Row],[Price]])</f>
        <v>1900</v>
      </c>
    </row>
    <row r="88" spans="1:11" x14ac:dyDescent="0.3">
      <c r="A88">
        <v>1087</v>
      </c>
      <c r="B88" t="s">
        <v>120</v>
      </c>
      <c r="C88" t="s">
        <v>17</v>
      </c>
      <c r="D88" t="s">
        <v>28</v>
      </c>
      <c r="E88" t="s">
        <v>29</v>
      </c>
      <c r="F88" t="s">
        <v>42</v>
      </c>
      <c r="G88">
        <v>1</v>
      </c>
      <c r="H88">
        <v>1903</v>
      </c>
      <c r="I88" s="1">
        <v>45659</v>
      </c>
      <c r="J88" t="s">
        <v>20</v>
      </c>
      <c r="K88" t="str">
        <f>IMPRODUCT(Table2[[#This Row],[Quantity]],Table2[[#This Row],[Price]])</f>
        <v>1903</v>
      </c>
    </row>
    <row r="89" spans="1:11" x14ac:dyDescent="0.3">
      <c r="A89">
        <v>1088</v>
      </c>
      <c r="B89" t="s">
        <v>121</v>
      </c>
      <c r="C89" t="s">
        <v>37</v>
      </c>
      <c r="D89" t="s">
        <v>22</v>
      </c>
      <c r="E89" t="s">
        <v>23</v>
      </c>
      <c r="F89" t="s">
        <v>14</v>
      </c>
      <c r="G89">
        <v>5</v>
      </c>
      <c r="H89">
        <v>718</v>
      </c>
      <c r="I89" s="1">
        <v>45692</v>
      </c>
      <c r="J89" t="s">
        <v>45</v>
      </c>
      <c r="K89" t="str">
        <f>IMPRODUCT(Table2[[#This Row],[Quantity]],Table2[[#This Row],[Price]])</f>
        <v>3590</v>
      </c>
    </row>
    <row r="90" spans="1:11" x14ac:dyDescent="0.3">
      <c r="A90">
        <v>1089</v>
      </c>
      <c r="B90" t="s">
        <v>122</v>
      </c>
      <c r="C90" t="s">
        <v>11</v>
      </c>
      <c r="D90" t="s">
        <v>12</v>
      </c>
      <c r="E90" t="s">
        <v>13</v>
      </c>
      <c r="F90" t="s">
        <v>42</v>
      </c>
      <c r="G90">
        <v>3</v>
      </c>
      <c r="H90">
        <v>1249</v>
      </c>
      <c r="I90" s="1">
        <v>45669</v>
      </c>
      <c r="J90" t="s">
        <v>15</v>
      </c>
      <c r="K90" t="str">
        <f>IMPRODUCT(Table2[[#This Row],[Quantity]],Table2[[#This Row],[Price]])</f>
        <v>3747</v>
      </c>
    </row>
    <row r="91" spans="1:11" x14ac:dyDescent="0.3">
      <c r="A91">
        <v>1090</v>
      </c>
      <c r="B91" t="s">
        <v>123</v>
      </c>
      <c r="C91" t="s">
        <v>11</v>
      </c>
      <c r="D91" t="s">
        <v>18</v>
      </c>
      <c r="E91" t="s">
        <v>13</v>
      </c>
      <c r="F91" t="s">
        <v>42</v>
      </c>
      <c r="G91">
        <v>3</v>
      </c>
      <c r="H91">
        <v>887</v>
      </c>
      <c r="I91" s="1">
        <v>45705</v>
      </c>
      <c r="J91" t="s">
        <v>15</v>
      </c>
      <c r="K91" t="str">
        <f>IMPRODUCT(Table2[[#This Row],[Quantity]],Table2[[#This Row],[Price]])</f>
        <v>2661</v>
      </c>
    </row>
    <row r="92" spans="1:11" x14ac:dyDescent="0.3">
      <c r="A92">
        <v>1091</v>
      </c>
      <c r="B92" t="s">
        <v>124</v>
      </c>
      <c r="C92" t="s">
        <v>31</v>
      </c>
      <c r="D92" t="s">
        <v>28</v>
      </c>
      <c r="E92" t="s">
        <v>13</v>
      </c>
      <c r="F92" t="s">
        <v>33</v>
      </c>
      <c r="G92">
        <v>5</v>
      </c>
      <c r="H92">
        <v>1357</v>
      </c>
      <c r="I92" s="1">
        <v>45738</v>
      </c>
      <c r="J92" t="s">
        <v>20</v>
      </c>
      <c r="K92" t="str">
        <f>IMPRODUCT(Table2[[#This Row],[Quantity]],Table2[[#This Row],[Price]])</f>
        <v>6785</v>
      </c>
    </row>
    <row r="93" spans="1:11" x14ac:dyDescent="0.3">
      <c r="A93">
        <v>1092</v>
      </c>
      <c r="B93" t="s">
        <v>125</v>
      </c>
      <c r="C93" t="s">
        <v>31</v>
      </c>
      <c r="D93" t="s">
        <v>22</v>
      </c>
      <c r="E93" t="s">
        <v>13</v>
      </c>
      <c r="F93" t="s">
        <v>42</v>
      </c>
      <c r="G93">
        <v>3</v>
      </c>
      <c r="H93">
        <v>1361</v>
      </c>
      <c r="I93" s="1">
        <v>45698</v>
      </c>
      <c r="J93" t="s">
        <v>25</v>
      </c>
      <c r="K93" t="str">
        <f>IMPRODUCT(Table2[[#This Row],[Quantity]],Table2[[#This Row],[Price]])</f>
        <v>4083</v>
      </c>
    </row>
    <row r="94" spans="1:11" x14ac:dyDescent="0.3">
      <c r="A94">
        <v>1093</v>
      </c>
      <c r="B94" t="s">
        <v>126</v>
      </c>
      <c r="C94" t="s">
        <v>37</v>
      </c>
      <c r="D94" t="s">
        <v>18</v>
      </c>
      <c r="E94" t="s">
        <v>13</v>
      </c>
      <c r="F94" t="s">
        <v>24</v>
      </c>
      <c r="G94">
        <v>3</v>
      </c>
      <c r="H94">
        <v>1971</v>
      </c>
      <c r="I94" s="1">
        <v>45677</v>
      </c>
      <c r="J94" t="s">
        <v>25</v>
      </c>
      <c r="K94" t="str">
        <f>IMPRODUCT(Table2[[#This Row],[Quantity]],Table2[[#This Row],[Price]])</f>
        <v>5913</v>
      </c>
    </row>
    <row r="95" spans="1:11" x14ac:dyDescent="0.3">
      <c r="A95">
        <v>1094</v>
      </c>
      <c r="B95" t="s">
        <v>127</v>
      </c>
      <c r="C95" t="s">
        <v>11</v>
      </c>
      <c r="D95" t="s">
        <v>22</v>
      </c>
      <c r="E95" t="s">
        <v>23</v>
      </c>
      <c r="F95" t="s">
        <v>42</v>
      </c>
      <c r="G95">
        <v>1</v>
      </c>
      <c r="H95">
        <v>1622</v>
      </c>
      <c r="I95" s="1">
        <v>45738</v>
      </c>
      <c r="J95" t="s">
        <v>25</v>
      </c>
      <c r="K95" t="str">
        <f>IMPRODUCT(Table2[[#This Row],[Quantity]],Table2[[#This Row],[Price]])</f>
        <v>1622</v>
      </c>
    </row>
    <row r="96" spans="1:11" x14ac:dyDescent="0.3">
      <c r="A96">
        <v>1095</v>
      </c>
      <c r="B96" t="s">
        <v>128</v>
      </c>
      <c r="C96" t="s">
        <v>17</v>
      </c>
      <c r="D96" t="s">
        <v>12</v>
      </c>
      <c r="E96" t="s">
        <v>29</v>
      </c>
      <c r="F96" t="s">
        <v>42</v>
      </c>
      <c r="G96">
        <v>4</v>
      </c>
      <c r="H96">
        <v>1388</v>
      </c>
      <c r="I96" s="1">
        <v>45663</v>
      </c>
      <c r="J96" t="s">
        <v>25</v>
      </c>
      <c r="K96" t="str">
        <f>IMPRODUCT(Table2[[#This Row],[Quantity]],Table2[[#This Row],[Price]])</f>
        <v>5552</v>
      </c>
    </row>
    <row r="97" spans="1:11" x14ac:dyDescent="0.3">
      <c r="A97">
        <v>1096</v>
      </c>
      <c r="B97" t="s">
        <v>129</v>
      </c>
      <c r="C97" t="s">
        <v>31</v>
      </c>
      <c r="D97" t="s">
        <v>32</v>
      </c>
      <c r="E97" t="s">
        <v>13</v>
      </c>
      <c r="F97" t="s">
        <v>19</v>
      </c>
      <c r="G97">
        <v>1</v>
      </c>
      <c r="H97">
        <v>1743</v>
      </c>
      <c r="I97" s="1">
        <v>45725</v>
      </c>
      <c r="J97" t="s">
        <v>25</v>
      </c>
      <c r="K97" t="str">
        <f>IMPRODUCT(Table2[[#This Row],[Quantity]],Table2[[#This Row],[Price]])</f>
        <v>1743</v>
      </c>
    </row>
    <row r="98" spans="1:11" x14ac:dyDescent="0.3">
      <c r="A98">
        <v>1097</v>
      </c>
      <c r="B98" t="s">
        <v>130</v>
      </c>
      <c r="C98" t="s">
        <v>37</v>
      </c>
      <c r="D98" t="s">
        <v>22</v>
      </c>
      <c r="E98" t="s">
        <v>23</v>
      </c>
      <c r="F98" t="s">
        <v>42</v>
      </c>
      <c r="G98">
        <v>3</v>
      </c>
      <c r="H98">
        <v>1671</v>
      </c>
      <c r="I98" s="1">
        <v>45696</v>
      </c>
      <c r="J98" t="s">
        <v>25</v>
      </c>
      <c r="K98" t="str">
        <f>IMPRODUCT(Table2[[#This Row],[Quantity]],Table2[[#This Row],[Price]])</f>
        <v>5013</v>
      </c>
    </row>
    <row r="99" spans="1:11" x14ac:dyDescent="0.3">
      <c r="A99">
        <v>1098</v>
      </c>
      <c r="B99" t="s">
        <v>131</v>
      </c>
      <c r="C99" t="s">
        <v>37</v>
      </c>
      <c r="D99" t="s">
        <v>22</v>
      </c>
      <c r="E99" t="s">
        <v>23</v>
      </c>
      <c r="F99" t="s">
        <v>42</v>
      </c>
      <c r="G99">
        <v>4</v>
      </c>
      <c r="H99">
        <v>1125</v>
      </c>
      <c r="I99" s="1">
        <v>45665</v>
      </c>
      <c r="J99" t="s">
        <v>15</v>
      </c>
      <c r="K99" t="str">
        <f>IMPRODUCT(Table2[[#This Row],[Quantity]],Table2[[#This Row],[Price]])</f>
        <v>4500</v>
      </c>
    </row>
    <row r="100" spans="1:11" x14ac:dyDescent="0.3">
      <c r="A100">
        <v>1099</v>
      </c>
      <c r="B100" t="s">
        <v>132</v>
      </c>
      <c r="C100" t="s">
        <v>35</v>
      </c>
      <c r="D100" t="s">
        <v>22</v>
      </c>
      <c r="E100" t="s">
        <v>23</v>
      </c>
      <c r="F100" t="s">
        <v>14</v>
      </c>
      <c r="G100">
        <v>5</v>
      </c>
      <c r="H100">
        <v>1540</v>
      </c>
      <c r="I100" s="1">
        <v>45692</v>
      </c>
      <c r="J100" t="s">
        <v>15</v>
      </c>
      <c r="K100" t="str">
        <f>IMPRODUCT(Table2[[#This Row],[Quantity]],Table2[[#This Row],[Price]])</f>
        <v>7700</v>
      </c>
    </row>
    <row r="101" spans="1:11" x14ac:dyDescent="0.3">
      <c r="A101">
        <v>1100</v>
      </c>
      <c r="B101" t="s">
        <v>133</v>
      </c>
      <c r="C101" t="s">
        <v>37</v>
      </c>
      <c r="D101" t="s">
        <v>28</v>
      </c>
      <c r="E101" t="s">
        <v>23</v>
      </c>
      <c r="F101" t="s">
        <v>19</v>
      </c>
      <c r="G101">
        <v>3</v>
      </c>
      <c r="H101">
        <v>1549</v>
      </c>
      <c r="I101" s="1">
        <v>45744</v>
      </c>
      <c r="J101" t="s">
        <v>15</v>
      </c>
      <c r="K101" t="str">
        <f>IMPRODUCT(Table2[[#This Row],[Quantity]],Table2[[#This Row],[Price]])</f>
        <v>4647</v>
      </c>
    </row>
  </sheetData>
  <pageMargins left="0.7" right="0.7" top="0.75" bottom="0.75" header="0.3" footer="0.3"/>
  <pageSetup orientation="portrait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Sales by Color</vt:lpstr>
      <vt:lpstr>Methods of Payment</vt:lpstr>
      <vt:lpstr>Orders Per Month</vt:lpstr>
      <vt:lpstr>Sales by Country</vt:lpstr>
      <vt:lpstr>Insights</vt:lpstr>
      <vt:lpstr>iphone_sales_dataset</vt:lpstr>
      <vt:lpstr>الرئيسي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Mohamed Khallaf</dc:creator>
  <cp:lastModifiedBy>Dark</cp:lastModifiedBy>
  <dcterms:created xsi:type="dcterms:W3CDTF">2026-05-24T13:36:39Z</dcterms:created>
  <dcterms:modified xsi:type="dcterms:W3CDTF">2026-05-25T21:18:25Z</dcterms:modified>
</cp:coreProperties>
</file>